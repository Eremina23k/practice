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2855" activeTab="1"/>
  </bookViews>
  <sheets>
    <sheet name="Главный" sheetId="12" r:id="rId1"/>
    <sheet name="Список" sheetId="1" r:id="rId2"/>
    <sheet name="Список ориентирование " sheetId="5" r:id="rId3"/>
    <sheet name="Ориентирование-сводная" sheetId="10" r:id="rId4"/>
    <sheet name="Старт Ж" sheetId="11" r:id="rId5"/>
    <sheet name="Старт М" sheetId="3" r:id="rId6"/>
  </sheets>
  <externalReferences>
    <externalReference r:id="rId7"/>
  </externalReferences>
  <definedNames>
    <definedName name="_xlnm._FilterDatabase" localSheetId="3" hidden="1">'Ориентирование-сводная'!$A$2:$J$2</definedName>
    <definedName name="_xlnm._FilterDatabase" localSheetId="1" hidden="1">Список!$A$1:$I$217</definedName>
    <definedName name="_xlnm._FilterDatabase" localSheetId="2" hidden="1">'Список ориентирование '!$B$1:$J$1</definedName>
    <definedName name="_xlnm.Print_Titles" localSheetId="3">'Ориентирование-сводная'!$1:$2</definedName>
    <definedName name="Запрос_из_Excel_Files" localSheetId="0" hidden="1">Главный!#REF!</definedName>
    <definedName name="_xlnm.Print_Area" localSheetId="0">Таблица243[#All]</definedName>
  </definedNames>
  <calcPr calcId="145621"/>
</workbook>
</file>

<file path=xl/calcChain.xml><?xml version="1.0" encoding="utf-8"?>
<calcChain xmlns="http://schemas.openxmlformats.org/spreadsheetml/2006/main">
  <c r="G47" i="10" l="1"/>
  <c r="G48" i="10"/>
  <c r="G49" i="10"/>
  <c r="G50" i="10"/>
  <c r="G51" i="10"/>
  <c r="G52" i="10"/>
  <c r="G53" i="10"/>
  <c r="G54" i="10"/>
  <c r="G55" i="10"/>
  <c r="G56" i="10"/>
  <c r="G57" i="10"/>
  <c r="G58" i="10"/>
  <c r="G33" i="3"/>
  <c r="G31" i="3"/>
  <c r="G32" i="3"/>
  <c r="G34" i="3"/>
  <c r="G35" i="3"/>
  <c r="G36" i="3"/>
  <c r="G37" i="3"/>
  <c r="G38" i="3"/>
  <c r="G24" i="3"/>
  <c r="G25" i="3"/>
  <c r="G26" i="3"/>
  <c r="G27" i="3"/>
  <c r="G28" i="3"/>
  <c r="G29" i="3"/>
  <c r="G30" i="3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173" i="1"/>
  <c r="D2" i="12" l="1"/>
  <c r="D3" i="12" s="1"/>
  <c r="D4" i="12" s="1"/>
  <c r="B4" i="12" s="1"/>
  <c r="E18" i="12"/>
  <c r="B18" i="12"/>
  <c r="B17" i="12"/>
  <c r="B3" i="12" l="1"/>
  <c r="E4" i="12"/>
  <c r="E2" i="12"/>
  <c r="E3" i="12"/>
  <c r="B2" i="12"/>
  <c r="D5" i="12"/>
  <c r="H5" i="1" l="1"/>
  <c r="H9" i="1"/>
  <c r="H13" i="1"/>
  <c r="H17" i="1"/>
  <c r="H21" i="1"/>
  <c r="H25" i="1"/>
  <c r="H29" i="1"/>
  <c r="H33" i="1"/>
  <c r="H37" i="1"/>
  <c r="H41" i="1"/>
  <c r="H45" i="1"/>
  <c r="H49" i="1"/>
  <c r="H6" i="1"/>
  <c r="H10" i="1"/>
  <c r="H14" i="1"/>
  <c r="H18" i="1"/>
  <c r="H22" i="1"/>
  <c r="H26" i="1"/>
  <c r="H30" i="1"/>
  <c r="H34" i="1"/>
  <c r="H38" i="1"/>
  <c r="H42" i="1"/>
  <c r="H46" i="1"/>
  <c r="H50" i="1"/>
  <c r="H3" i="1"/>
  <c r="H7" i="1"/>
  <c r="H11" i="1"/>
  <c r="H15" i="1"/>
  <c r="H19" i="1"/>
  <c r="H23" i="1"/>
  <c r="H27" i="1"/>
  <c r="H31" i="1"/>
  <c r="H35" i="1"/>
  <c r="H39" i="1"/>
  <c r="H43" i="1"/>
  <c r="H47" i="1"/>
  <c r="H4" i="1"/>
  <c r="H8" i="1"/>
  <c r="H12" i="1"/>
  <c r="H16" i="1"/>
  <c r="H20" i="1"/>
  <c r="H24" i="1"/>
  <c r="H28" i="1"/>
  <c r="H32" i="1"/>
  <c r="H36" i="1"/>
  <c r="H40" i="1"/>
  <c r="H44" i="1"/>
  <c r="H48" i="1"/>
  <c r="H2" i="1"/>
  <c r="E5" i="12"/>
  <c r="B5" i="12"/>
  <c r="D6" i="12"/>
  <c r="H64" i="1" l="1"/>
  <c r="H68" i="1"/>
  <c r="H52" i="1"/>
  <c r="H75" i="1"/>
  <c r="H59" i="1"/>
  <c r="H78" i="1"/>
  <c r="H62" i="1"/>
  <c r="H65" i="1"/>
  <c r="H71" i="1"/>
  <c r="H55" i="1"/>
  <c r="H74" i="1"/>
  <c r="H58" i="1"/>
  <c r="H77" i="1"/>
  <c r="H61" i="1"/>
  <c r="H76" i="1"/>
  <c r="H60" i="1"/>
  <c r="H67" i="1"/>
  <c r="H51" i="1"/>
  <c r="H70" i="1"/>
  <c r="H54" i="1"/>
  <c r="H73" i="1"/>
  <c r="H57" i="1"/>
  <c r="H72" i="1"/>
  <c r="H56" i="1"/>
  <c r="H63" i="1"/>
  <c r="H66" i="1"/>
  <c r="H69" i="1"/>
  <c r="H53" i="1"/>
  <c r="D7" i="12"/>
  <c r="D8" i="12" s="1"/>
  <c r="E6" i="12"/>
  <c r="B6" i="12"/>
  <c r="B8" i="12" l="1"/>
  <c r="E8" i="12"/>
  <c r="E7" i="12"/>
  <c r="B7" i="12"/>
  <c r="D9" i="12"/>
  <c r="H107" i="1" l="1"/>
  <c r="H94" i="1"/>
  <c r="H81" i="1"/>
  <c r="H102" i="1"/>
  <c r="H89" i="1"/>
  <c r="H98" i="1"/>
  <c r="H85" i="1"/>
  <c r="H100" i="1"/>
  <c r="H91" i="1"/>
  <c r="H96" i="1"/>
  <c r="H106" i="1"/>
  <c r="H93" i="1"/>
  <c r="H108" i="1"/>
  <c r="H99" i="1"/>
  <c r="H86" i="1"/>
  <c r="H104" i="1"/>
  <c r="H95" i="1"/>
  <c r="H82" i="1"/>
  <c r="H80" i="1"/>
  <c r="H84" i="1"/>
  <c r="H103" i="1"/>
  <c r="H90" i="1"/>
  <c r="H92" i="1"/>
  <c r="H83" i="1"/>
  <c r="H88" i="1"/>
  <c r="H79" i="1"/>
  <c r="H97" i="1"/>
  <c r="H87" i="1"/>
  <c r="H105" i="1"/>
  <c r="H101" i="1"/>
  <c r="E9" i="12"/>
  <c r="B9" i="12"/>
  <c r="D10" i="12"/>
  <c r="H118" i="1" l="1"/>
  <c r="H120" i="1"/>
  <c r="H109" i="1"/>
  <c r="H117" i="1"/>
  <c r="H115" i="1"/>
  <c r="H122" i="1"/>
  <c r="H116" i="1"/>
  <c r="H110" i="1"/>
  <c r="H119" i="1"/>
  <c r="H112" i="1"/>
  <c r="H114" i="1"/>
  <c r="H123" i="1"/>
  <c r="H121" i="1"/>
  <c r="H113" i="1"/>
  <c r="H111" i="1"/>
  <c r="D11" i="12"/>
  <c r="D12" i="12" s="1"/>
  <c r="E10" i="12"/>
  <c r="B10" i="12"/>
  <c r="H128" i="1" l="1"/>
  <c r="H135" i="1"/>
  <c r="H133" i="1"/>
  <c r="H138" i="1"/>
  <c r="H125" i="1"/>
  <c r="H124" i="1"/>
  <c r="H139" i="1"/>
  <c r="H134" i="1"/>
  <c r="H130" i="1"/>
  <c r="H131" i="1"/>
  <c r="H137" i="1"/>
  <c r="H127" i="1"/>
  <c r="H136" i="1"/>
  <c r="H129" i="1"/>
  <c r="H126" i="1"/>
  <c r="H132" i="1"/>
  <c r="D13" i="12"/>
  <c r="B13" i="12" s="1"/>
  <c r="E12" i="12"/>
  <c r="B12" i="12"/>
  <c r="E11" i="12"/>
  <c r="B11" i="12"/>
  <c r="H168" i="1" s="1"/>
  <c r="H159" i="1" l="1"/>
  <c r="H163" i="1"/>
  <c r="H167" i="1"/>
  <c r="H173" i="1"/>
  <c r="H166" i="1"/>
  <c r="H143" i="1"/>
  <c r="H171" i="1"/>
  <c r="H158" i="1"/>
  <c r="H169" i="1"/>
  <c r="H140" i="1"/>
  <c r="H154" i="1"/>
  <c r="H144" i="1"/>
  <c r="H172" i="1"/>
  <c r="H170" i="1"/>
  <c r="H142" i="1"/>
  <c r="H146" i="1"/>
  <c r="H152" i="1"/>
  <c r="H162" i="1"/>
  <c r="H156" i="1"/>
  <c r="H151" i="1"/>
  <c r="H155" i="1"/>
  <c r="H145" i="1"/>
  <c r="H161" i="1"/>
  <c r="H150" i="1"/>
  <c r="H164" i="1"/>
  <c r="H141" i="1"/>
  <c r="H157" i="1"/>
  <c r="H149" i="1"/>
  <c r="H165" i="1"/>
  <c r="H147" i="1"/>
  <c r="H148" i="1"/>
  <c r="H153" i="1"/>
  <c r="D14" i="12"/>
  <c r="B14" i="12" s="1"/>
  <c r="E13" i="12"/>
  <c r="E14" i="12" l="1"/>
  <c r="D15" i="12"/>
  <c r="B15" i="12" s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I101" i="11"/>
  <c r="G101" i="11"/>
  <c r="I100" i="11"/>
  <c r="G100" i="11"/>
  <c r="I99" i="11"/>
  <c r="G99" i="11"/>
  <c r="I98" i="11"/>
  <c r="G98" i="11"/>
  <c r="I97" i="11"/>
  <c r="G97" i="11"/>
  <c r="I96" i="11"/>
  <c r="G96" i="11"/>
  <c r="I95" i="11"/>
  <c r="G95" i="11"/>
  <c r="I94" i="11"/>
  <c r="G94" i="11"/>
  <c r="I93" i="11"/>
  <c r="G93" i="11"/>
  <c r="I92" i="11"/>
  <c r="G92" i="11"/>
  <c r="I91" i="11"/>
  <c r="G91" i="11"/>
  <c r="I90" i="11"/>
  <c r="G90" i="11"/>
  <c r="I89" i="11"/>
  <c r="G89" i="11"/>
  <c r="I88" i="11"/>
  <c r="G88" i="11"/>
  <c r="I87" i="11"/>
  <c r="G87" i="11"/>
  <c r="I86" i="11"/>
  <c r="G86" i="11"/>
  <c r="I85" i="11"/>
  <c r="G85" i="11"/>
  <c r="I84" i="11"/>
  <c r="G84" i="11"/>
  <c r="I83" i="11"/>
  <c r="G83" i="11"/>
  <c r="I82" i="11"/>
  <c r="G82" i="11"/>
  <c r="I81" i="11"/>
  <c r="G81" i="11"/>
  <c r="I80" i="11"/>
  <c r="G80" i="11"/>
  <c r="I79" i="11"/>
  <c r="G79" i="11"/>
  <c r="I78" i="11"/>
  <c r="G78" i="11"/>
  <c r="I77" i="11"/>
  <c r="G77" i="11"/>
  <c r="I76" i="11"/>
  <c r="G76" i="11"/>
  <c r="I75" i="11"/>
  <c r="G75" i="11"/>
  <c r="I74" i="11"/>
  <c r="G74" i="11"/>
  <c r="I73" i="11"/>
  <c r="G73" i="11"/>
  <c r="I72" i="11"/>
  <c r="G72" i="11"/>
  <c r="I71" i="11"/>
  <c r="G71" i="11"/>
  <c r="I70" i="11"/>
  <c r="G70" i="11"/>
  <c r="I69" i="11"/>
  <c r="G69" i="11"/>
  <c r="I68" i="11"/>
  <c r="G68" i="11"/>
  <c r="I67" i="11"/>
  <c r="G67" i="11"/>
  <c r="I66" i="11"/>
  <c r="G66" i="11"/>
  <c r="I65" i="11"/>
  <c r="G65" i="11"/>
  <c r="I64" i="11"/>
  <c r="G64" i="11"/>
  <c r="I63" i="11"/>
  <c r="G63" i="11"/>
  <c r="I62" i="11"/>
  <c r="G62" i="11"/>
  <c r="I61" i="11"/>
  <c r="G61" i="11"/>
  <c r="I60" i="11"/>
  <c r="G60" i="11"/>
  <c r="I59" i="11"/>
  <c r="G59" i="11"/>
  <c r="I58" i="11"/>
  <c r="G58" i="11"/>
  <c r="I57" i="11"/>
  <c r="G57" i="11"/>
  <c r="I56" i="11"/>
  <c r="G56" i="11"/>
  <c r="I55" i="11"/>
  <c r="G55" i="11"/>
  <c r="I54" i="11"/>
  <c r="G54" i="11"/>
  <c r="I53" i="11"/>
  <c r="G53" i="11"/>
  <c r="I52" i="11"/>
  <c r="G52" i="11"/>
  <c r="I51" i="11"/>
  <c r="G51" i="11"/>
  <c r="I50" i="11"/>
  <c r="G50" i="11"/>
  <c r="I49" i="11"/>
  <c r="G49" i="11"/>
  <c r="I48" i="11"/>
  <c r="G48" i="11"/>
  <c r="I47" i="11"/>
  <c r="G47" i="11"/>
  <c r="I46" i="11"/>
  <c r="G46" i="11"/>
  <c r="I45" i="11"/>
  <c r="G45" i="11"/>
  <c r="I44" i="11"/>
  <c r="G44" i="11"/>
  <c r="I43" i="11"/>
  <c r="G43" i="11"/>
  <c r="I42" i="11"/>
  <c r="G42" i="11"/>
  <c r="I41" i="11"/>
  <c r="G41" i="11"/>
  <c r="I40" i="11"/>
  <c r="G40" i="11"/>
  <c r="I39" i="11"/>
  <c r="G39" i="11"/>
  <c r="I38" i="11"/>
  <c r="G38" i="11"/>
  <c r="I37" i="11"/>
  <c r="G37" i="11"/>
  <c r="I36" i="11"/>
  <c r="G36" i="11"/>
  <c r="I35" i="11"/>
  <c r="G35" i="11"/>
  <c r="G34" i="11"/>
  <c r="I34" i="11" s="1"/>
  <c r="G33" i="11"/>
  <c r="I33" i="11" s="1"/>
  <c r="G32" i="11"/>
  <c r="I32" i="11" s="1"/>
  <c r="G31" i="11"/>
  <c r="I31" i="11" s="1"/>
  <c r="G30" i="11"/>
  <c r="I30" i="11" s="1"/>
  <c r="G29" i="11"/>
  <c r="I29" i="11" s="1"/>
  <c r="G28" i="11"/>
  <c r="I28" i="11" s="1"/>
  <c r="G27" i="11"/>
  <c r="I27" i="11" s="1"/>
  <c r="G26" i="11"/>
  <c r="I26" i="11" s="1"/>
  <c r="G25" i="11"/>
  <c r="I25" i="11" s="1"/>
  <c r="G24" i="11"/>
  <c r="I24" i="11" s="1"/>
  <c r="G23" i="11"/>
  <c r="I23" i="11" s="1"/>
  <c r="G22" i="11"/>
  <c r="I22" i="11" s="1"/>
  <c r="G21" i="11"/>
  <c r="I21" i="11" s="1"/>
  <c r="G20" i="11"/>
  <c r="I20" i="11" s="1"/>
  <c r="G19" i="11"/>
  <c r="I19" i="11" s="1"/>
  <c r="G18" i="11"/>
  <c r="I18" i="11" s="1"/>
  <c r="G17" i="11"/>
  <c r="I17" i="11" s="1"/>
  <c r="G16" i="11"/>
  <c r="I16" i="11" s="1"/>
  <c r="G15" i="11"/>
  <c r="I15" i="11" s="1"/>
  <c r="G14" i="11"/>
  <c r="I14" i="11" s="1"/>
  <c r="G13" i="11"/>
  <c r="I13" i="11" s="1"/>
  <c r="G12" i="11"/>
  <c r="I12" i="11" s="1"/>
  <c r="G11" i="11"/>
  <c r="I11" i="11" s="1"/>
  <c r="G10" i="11"/>
  <c r="I10" i="11" s="1"/>
  <c r="G9" i="11"/>
  <c r="I9" i="11" s="1"/>
  <c r="G8" i="11"/>
  <c r="I8" i="11" s="1"/>
  <c r="I7" i="11"/>
  <c r="G7" i="11"/>
  <c r="G6" i="11"/>
  <c r="I6" i="11" s="1"/>
  <c r="G5" i="11"/>
  <c r="I5" i="11" s="1"/>
  <c r="G4" i="11"/>
  <c r="I4" i="11" s="1"/>
  <c r="I3" i="11"/>
  <c r="G3" i="11"/>
  <c r="I31" i="3"/>
  <c r="I32" i="3"/>
  <c r="I33" i="3"/>
  <c r="I34" i="3"/>
  <c r="I35" i="3"/>
  <c r="I36" i="3"/>
  <c r="I37" i="3"/>
  <c r="I38" i="3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/>
  <c r="G48" i="3"/>
  <c r="I48" i="3" s="1"/>
  <c r="G49" i="3"/>
  <c r="I49" i="3"/>
  <c r="G50" i="3"/>
  <c r="I50" i="3" s="1"/>
  <c r="G51" i="3"/>
  <c r="I51" i="3" s="1"/>
  <c r="G52" i="3"/>
  <c r="I52" i="3" s="1"/>
  <c r="G53" i="3"/>
  <c r="I53" i="3" s="1"/>
  <c r="G54" i="3"/>
  <c r="I54" i="3" s="1"/>
  <c r="G55" i="3"/>
  <c r="I55" i="3" s="1"/>
  <c r="G56" i="3"/>
  <c r="I56" i="3" s="1"/>
  <c r="G57" i="3"/>
  <c r="I57" i="3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/>
  <c r="G64" i="3"/>
  <c r="I64" i="3" s="1"/>
  <c r="G65" i="3"/>
  <c r="I65" i="3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/>
  <c r="G72" i="3"/>
  <c r="I72" i="3" s="1"/>
  <c r="G73" i="3"/>
  <c r="I73" i="3"/>
  <c r="G74" i="3"/>
  <c r="I74" i="3" s="1"/>
  <c r="G75" i="3"/>
  <c r="I75" i="3" s="1"/>
  <c r="G76" i="3"/>
  <c r="I76" i="3" s="1"/>
  <c r="G77" i="3"/>
  <c r="I77" i="3" s="1"/>
  <c r="G78" i="3"/>
  <c r="I78" i="3" s="1"/>
  <c r="G79" i="3"/>
  <c r="I79" i="3"/>
  <c r="G80" i="3"/>
  <c r="I80" i="3" s="1"/>
  <c r="G81" i="3"/>
  <c r="I81" i="3"/>
  <c r="G82" i="3"/>
  <c r="I82" i="3" s="1"/>
  <c r="G83" i="3"/>
  <c r="I83" i="3" s="1"/>
  <c r="G84" i="3"/>
  <c r="I84" i="3" s="1"/>
  <c r="G85" i="3"/>
  <c r="I85" i="3" s="1"/>
  <c r="G86" i="3"/>
  <c r="I86" i="3" s="1"/>
  <c r="G87" i="3"/>
  <c r="I87" i="3" s="1"/>
  <c r="G88" i="3"/>
  <c r="I88" i="3" s="1"/>
  <c r="G89" i="3"/>
  <c r="I89" i="3"/>
  <c r="G90" i="3"/>
  <c r="I90" i="3" s="1"/>
  <c r="G91" i="3"/>
  <c r="I91" i="3" s="1"/>
  <c r="G92" i="3"/>
  <c r="I92" i="3" s="1"/>
  <c r="G93" i="3"/>
  <c r="I93" i="3" s="1"/>
  <c r="G94" i="3"/>
  <c r="I94" i="3" s="1"/>
  <c r="G95" i="3"/>
  <c r="I95" i="3"/>
  <c r="G96" i="3"/>
  <c r="I96" i="3" s="1"/>
  <c r="G97" i="3"/>
  <c r="I97" i="3"/>
  <c r="G98" i="3"/>
  <c r="I98" i="3" s="1"/>
  <c r="G99" i="3"/>
  <c r="I99" i="3" s="1"/>
  <c r="G100" i="3"/>
  <c r="I100" i="3" s="1"/>
  <c r="G101" i="3"/>
  <c r="I101" i="3" s="1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G4" i="3"/>
  <c r="I4" i="3" s="1"/>
  <c r="G5" i="3"/>
  <c r="I5" i="3" s="1"/>
  <c r="G6" i="3"/>
  <c r="I6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3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" i="3"/>
  <c r="E15" i="12" l="1"/>
  <c r="D16" i="12"/>
  <c r="B16" i="12" s="1"/>
  <c r="H160" i="1" s="1"/>
  <c r="H47" i="10"/>
  <c r="H51" i="10"/>
  <c r="H55" i="10"/>
  <c r="M7" i="11"/>
  <c r="L7" i="11" s="1"/>
  <c r="G19" i="10"/>
  <c r="G20" i="10"/>
  <c r="G32" i="10"/>
  <c r="G40" i="10"/>
  <c r="G33" i="10"/>
  <c r="G41" i="10"/>
  <c r="G14" i="10"/>
  <c r="G18" i="10"/>
  <c r="G34" i="10"/>
  <c r="G38" i="10"/>
  <c r="G42" i="10"/>
  <c r="G46" i="10"/>
  <c r="M5" i="11"/>
  <c r="M4" i="11"/>
  <c r="M6" i="11"/>
  <c r="M3" i="11"/>
  <c r="E16" i="12" l="1"/>
  <c r="H176" i="1"/>
  <c r="H180" i="1"/>
  <c r="H184" i="1"/>
  <c r="H188" i="1"/>
  <c r="H192" i="1"/>
  <c r="H196" i="1"/>
  <c r="H200" i="1"/>
  <c r="H204" i="1"/>
  <c r="H208" i="1"/>
  <c r="H212" i="1"/>
  <c r="H177" i="1"/>
  <c r="H181" i="1"/>
  <c r="H185" i="1"/>
  <c r="H189" i="1"/>
  <c r="H193" i="1"/>
  <c r="H197" i="1"/>
  <c r="H201" i="1"/>
  <c r="H205" i="1"/>
  <c r="H209" i="1"/>
  <c r="H213" i="1"/>
  <c r="H217" i="1"/>
  <c r="H174" i="1"/>
  <c r="H178" i="1"/>
  <c r="H182" i="1"/>
  <c r="H186" i="1"/>
  <c r="H190" i="1"/>
  <c r="H194" i="1"/>
  <c r="H198" i="1"/>
  <c r="H202" i="1"/>
  <c r="H206" i="1"/>
  <c r="H210" i="1"/>
  <c r="H214" i="1"/>
  <c r="H175" i="1"/>
  <c r="H179" i="1"/>
  <c r="H183" i="1"/>
  <c r="H187" i="1"/>
  <c r="H191" i="1"/>
  <c r="H195" i="1"/>
  <c r="H199" i="1"/>
  <c r="H203" i="1"/>
  <c r="H207" i="1"/>
  <c r="H211" i="1"/>
  <c r="H215" i="1"/>
  <c r="H216" i="1"/>
  <c r="K7" i="11"/>
  <c r="L3" i="11"/>
  <c r="K3" i="11"/>
  <c r="K4" i="11"/>
  <c r="L4" i="11"/>
  <c r="K5" i="11"/>
  <c r="L5" i="11"/>
  <c r="L6" i="11"/>
  <c r="K6" i="11"/>
  <c r="G7" i="10" l="1"/>
  <c r="G23" i="10"/>
  <c r="G31" i="10"/>
  <c r="H31" i="10" s="1"/>
  <c r="G12" i="10"/>
  <c r="G24" i="10"/>
  <c r="G35" i="10"/>
  <c r="G21" i="10"/>
  <c r="G44" i="10"/>
  <c r="G8" i="10"/>
  <c r="G43" i="10"/>
  <c r="G36" i="10"/>
  <c r="G9" i="10"/>
  <c r="G13" i="10"/>
  <c r="G29" i="10"/>
  <c r="G10" i="10"/>
  <c r="G15" i="10"/>
  <c r="G22" i="10"/>
  <c r="G26" i="10"/>
  <c r="G30" i="10"/>
  <c r="G37" i="10"/>
  <c r="G45" i="10"/>
  <c r="G3" i="10"/>
  <c r="G11" i="10"/>
  <c r="G16" i="10"/>
  <c r="G27" i="10"/>
  <c r="G39" i="10"/>
  <c r="H39" i="10" s="1"/>
  <c r="G4" i="10"/>
  <c r="G17" i="10"/>
  <c r="G28" i="10"/>
  <c r="G5" i="10"/>
  <c r="G25" i="10"/>
  <c r="G6" i="10"/>
  <c r="M3" i="3"/>
  <c r="M7" i="3"/>
  <c r="M6" i="3"/>
  <c r="M5" i="3"/>
  <c r="M4" i="3"/>
  <c r="H11" i="10" l="1"/>
  <c r="H15" i="10"/>
  <c r="H19" i="10"/>
  <c r="H3" i="10"/>
  <c r="H43" i="10"/>
  <c r="H35" i="10"/>
  <c r="H23" i="10"/>
  <c r="H27" i="10"/>
  <c r="H7" i="10"/>
  <c r="L7" i="3"/>
  <c r="N12" i="10" l="1"/>
  <c r="M12" i="10" s="1"/>
  <c r="N5" i="10"/>
  <c r="M5" i="10" s="1"/>
  <c r="N10" i="10"/>
  <c r="M10" i="10" s="1"/>
  <c r="N3" i="10"/>
  <c r="N16" i="10"/>
  <c r="M16" i="10" s="1"/>
  <c r="N8" i="10"/>
  <c r="M8" i="10" s="1"/>
  <c r="N13" i="10"/>
  <c r="M13" i="10" s="1"/>
  <c r="N6" i="10"/>
  <c r="M6" i="10" s="1"/>
  <c r="N11" i="10"/>
  <c r="M11" i="10" s="1"/>
  <c r="N4" i="10"/>
  <c r="M4" i="10" s="1"/>
  <c r="N15" i="10"/>
  <c r="M15" i="10" s="1"/>
  <c r="N9" i="10"/>
  <c r="M9" i="10" s="1"/>
  <c r="N14" i="10"/>
  <c r="M14" i="10" s="1"/>
  <c r="N7" i="10"/>
  <c r="M7" i="10" s="1"/>
  <c r="K7" i="3"/>
  <c r="J47" i="10" l="1"/>
  <c r="I51" i="10"/>
  <c r="I47" i="10"/>
  <c r="J51" i="10"/>
  <c r="J55" i="10"/>
  <c r="I55" i="10"/>
  <c r="I23" i="10"/>
  <c r="J43" i="10"/>
  <c r="I35" i="10"/>
  <c r="I3" i="10"/>
  <c r="J3" i="10"/>
  <c r="I43" i="10"/>
  <c r="J35" i="10"/>
  <c r="J23" i="10"/>
  <c r="M3" i="10"/>
  <c r="J11" i="10"/>
  <c r="J31" i="10"/>
  <c r="I11" i="10"/>
  <c r="J39" i="10"/>
  <c r="I39" i="10"/>
  <c r="I31" i="10"/>
  <c r="J7" i="10"/>
  <c r="I19" i="10"/>
  <c r="J15" i="10"/>
  <c r="J27" i="10"/>
  <c r="I7" i="10"/>
  <c r="J19" i="10"/>
  <c r="I15" i="10"/>
  <c r="I27" i="10"/>
  <c r="L3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2" i="1"/>
  <c r="K3" i="3" l="1"/>
  <c r="L5" i="3"/>
  <c r="K5" i="3"/>
  <c r="L6" i="3"/>
  <c r="K6" i="3"/>
  <c r="L4" i="3"/>
  <c r="K4" i="3"/>
  <c r="F14" i="12"/>
</calcChain>
</file>

<file path=xl/sharedStrings.xml><?xml version="1.0" encoding="utf-8"?>
<sst xmlns="http://schemas.openxmlformats.org/spreadsheetml/2006/main" count="1111" uniqueCount="291">
  <si>
    <t>туртехника</t>
  </si>
  <si>
    <t>ориентирование</t>
  </si>
  <si>
    <t>Жеребьевка</t>
  </si>
  <si>
    <t>Дата</t>
  </si>
  <si>
    <t>СМП</t>
  </si>
  <si>
    <t>Макагон Иван Васильевич</t>
  </si>
  <si>
    <t>Т</t>
  </si>
  <si>
    <t>Развин Вячеслав Александрович</t>
  </si>
  <si>
    <t>Бояновская Анастасия Владимировна</t>
  </si>
  <si>
    <t>Госс Денис Александрович</t>
  </si>
  <si>
    <t>Валитов Равиль Наильевич</t>
  </si>
  <si>
    <t>Жеребцов Андрей Викторович</t>
  </si>
  <si>
    <t>С</t>
  </si>
  <si>
    <t>Белодед Вероника Николаевна</t>
  </si>
  <si>
    <t>Дроздов Артём Викторович</t>
  </si>
  <si>
    <t>Савельева Екатерина Владимировна</t>
  </si>
  <si>
    <t>Маклаков Никита Сергеевич</t>
  </si>
  <si>
    <t>Трибушевский Олег Игоревич</t>
  </si>
  <si>
    <t>Черныш Владимир Юрьевич</t>
  </si>
  <si>
    <t>Прозорова Инна Наильевна</t>
  </si>
  <si>
    <t>Приходько Дмитрий Николаевич</t>
  </si>
  <si>
    <t>Закревский Алексей Александрович</t>
  </si>
  <si>
    <t>Матвейчук Олег Петрович</t>
  </si>
  <si>
    <t>МП</t>
  </si>
  <si>
    <t>Степико Денис Борисович</t>
  </si>
  <si>
    <t>Конышев Максим Михайлович</t>
  </si>
  <si>
    <t>Штефи Владислав Петрович</t>
  </si>
  <si>
    <t>Журов Александр Александрович</t>
  </si>
  <si>
    <t>Жаринова Ольга Юрьевна</t>
  </si>
  <si>
    <t>Саматов Михаил Васильевич</t>
  </si>
  <si>
    <t>Михайлов Алексей Сергеевич</t>
  </si>
  <si>
    <t>Урусов Алексей Николаевич</t>
  </si>
  <si>
    <t>Заливина Елена Александровна</t>
  </si>
  <si>
    <t>Жаринов Леонид Алексеевич</t>
  </si>
  <si>
    <t>Положенцев Евгений Владимирович</t>
  </si>
  <si>
    <t>Колесников Дмитрий Александрович</t>
  </si>
  <si>
    <t>Коновалов Юрий Анатольевич</t>
  </si>
  <si>
    <t>Панков Владимир Евгеньевич</t>
  </si>
  <si>
    <t>Лапшин Алексей Валерьевич</t>
  </si>
  <si>
    <t>Жильцов Александр Александрович</t>
  </si>
  <si>
    <t>ц.35</t>
  </si>
  <si>
    <t>Белозёров Иван  Викторович</t>
  </si>
  <si>
    <t>15.17.1987</t>
  </si>
  <si>
    <t>Железкин Александр Сергеевич</t>
  </si>
  <si>
    <t>Кустов Сергей Анатольевич</t>
  </si>
  <si>
    <t>Беляева Ангелина Генриховна</t>
  </si>
  <si>
    <t>Филипчик Алексей Иванович</t>
  </si>
  <si>
    <t>Дубляженко Павел Евгеньевич</t>
  </si>
  <si>
    <t>Бабкин Илья Андреевич</t>
  </si>
  <si>
    <t xml:space="preserve">С </t>
  </si>
  <si>
    <t>Марков Иван Владимирович</t>
  </si>
  <si>
    <t>Волкогон Владимир Владимирович</t>
  </si>
  <si>
    <t>Ивахно Любовь Сергеевна</t>
  </si>
  <si>
    <t>Клевакина Лариса Геннадьевна</t>
  </si>
  <si>
    <t>Колесников Денис Александрович</t>
  </si>
  <si>
    <t>Кудинов Виталий Викторович</t>
  </si>
  <si>
    <t>Кустов Максим Анатольевич</t>
  </si>
  <si>
    <t>Леонтьева Наталья Александровна</t>
  </si>
  <si>
    <t xml:space="preserve">Шипицин Евгений Александрович </t>
  </si>
  <si>
    <t>ц.38</t>
  </si>
  <si>
    <t>Гацко Александр Сергеевич</t>
  </si>
  <si>
    <t>Серёгин ЕвгенийЕвгеньевич</t>
  </si>
  <si>
    <t>Гай Юлия Александровна</t>
  </si>
  <si>
    <t>Комаров Илья Андреевич</t>
  </si>
  <si>
    <t>Федосеев Сергей Николаевич</t>
  </si>
  <si>
    <t>Милованова Олеся Валерьевна</t>
  </si>
  <si>
    <t>Кравцов Сергей Юрьевич</t>
  </si>
  <si>
    <t>Анохов Сергей Александрович</t>
  </si>
  <si>
    <t>Подворный Алексей Юрьевич</t>
  </si>
  <si>
    <t>Твардовская Светлана Владимировна</t>
  </si>
  <si>
    <t>Снежкова Татьяна Александровна</t>
  </si>
  <si>
    <t>Бугай Александр Николаевич</t>
  </si>
  <si>
    <t>Бабукова Елена Михайловна</t>
  </si>
  <si>
    <t>Ковалёв Анатолий Васильевич</t>
  </si>
  <si>
    <t>СГМ</t>
  </si>
  <si>
    <t>Михайлюк Анна Леонидовна</t>
  </si>
  <si>
    <t>Варлакова Ирина Сергеевна</t>
  </si>
  <si>
    <t>Прикуль Виталий Владимирович</t>
  </si>
  <si>
    <t>Курбатова Елена Александровна</t>
  </si>
  <si>
    <t>Начатов Андрей  Николаевич</t>
  </si>
  <si>
    <t>Полухин Сергей Владимирович</t>
  </si>
  <si>
    <t>Ткачёв Дмитрий Владимирович</t>
  </si>
  <si>
    <t>Максимова Регина Юрьевна</t>
  </si>
  <si>
    <t>Ефимов Александр Владимирович</t>
  </si>
  <si>
    <t>Грушецкий Вячеслав Валерьевич</t>
  </si>
  <si>
    <t>Бундзеляк Никита Петрович</t>
  </si>
  <si>
    <t>Бачин Александр Михайлович</t>
  </si>
  <si>
    <t>Зайцев Сергей Геннадьевич</t>
  </si>
  <si>
    <t>ц.63</t>
  </si>
  <si>
    <t>Тарасов Илдья Владимирович</t>
  </si>
  <si>
    <t>Галишников Денис Иванович</t>
  </si>
  <si>
    <t>Ткачук Евгения Романовна</t>
  </si>
  <si>
    <t>Ионин Роман Николаевич</t>
  </si>
  <si>
    <t>Дахов Артур Сергеевич</t>
  </si>
  <si>
    <t>Лазарева Александра Михайловна</t>
  </si>
  <si>
    <t>Деменева Оксана Николаевна</t>
  </si>
  <si>
    <t>Ионин Евгений Валерьевич</t>
  </si>
  <si>
    <t>Сабранский Вячеслав Владимирович</t>
  </si>
  <si>
    <t>Погребняк Андрей Григорьевич</t>
  </si>
  <si>
    <t>Абдрахманов Анвар Атванович</t>
  </si>
  <si>
    <t>Лазаревич Наталья Алексеевна</t>
  </si>
  <si>
    <t>Еремеева Ольга Дмитриевна</t>
  </si>
  <si>
    <t>Яковлева Ирина Владимировна</t>
  </si>
  <si>
    <t>ц.65</t>
  </si>
  <si>
    <t>Худов Сергей Анатольевич</t>
  </si>
  <si>
    <t>Епанчинцев Михаил Владимирович</t>
  </si>
  <si>
    <t>Епанчинцев Дмитрий  Владимирович</t>
  </si>
  <si>
    <t>Полякова Ольга Васильевна</t>
  </si>
  <si>
    <t>Дьяконов Дмитрий Васильевич</t>
  </si>
  <si>
    <t>Волосанов Дмитрий Александрович</t>
  </si>
  <si>
    <t>Шахматов Вячеслав Владимирович</t>
  </si>
  <si>
    <t>Друковская Наталья Сергеевна</t>
  </si>
  <si>
    <t>Киселёва Елена Васильевна</t>
  </si>
  <si>
    <t>Кошелев Алексей Романович</t>
  </si>
  <si>
    <t>Крюков Константин Анатольевич</t>
  </si>
  <si>
    <t>Недоступ Евгений Николаевич</t>
  </si>
  <si>
    <t>Клестова Виктория Владимировна</t>
  </si>
  <si>
    <t>Кондаков Иван Николаевич</t>
  </si>
  <si>
    <t>Гертнер Александр Владимирович</t>
  </si>
  <si>
    <t>Козлов Анатолий Петрович</t>
  </si>
  <si>
    <t>АХС</t>
  </si>
  <si>
    <t>Шихалева Галина Владимировна</t>
  </si>
  <si>
    <t>Мудриченко Руслан Андреевич</t>
  </si>
  <si>
    <t>Книга Михаил Александрович</t>
  </si>
  <si>
    <t>Терёхин Алексей Владимирович</t>
  </si>
  <si>
    <t>Шлома Алексей Владимирович</t>
  </si>
  <si>
    <t>Першаева Мария Александровна</t>
  </si>
  <si>
    <t>Дай Ольга Николаевна</t>
  </si>
  <si>
    <t>Киселёва Инна Васильевна</t>
  </si>
  <si>
    <t>Бугай Сергей Александрович</t>
  </si>
  <si>
    <t>Бугай Татьяна Александровна</t>
  </si>
  <si>
    <t>Терёхин Дмитрий Александрович</t>
  </si>
  <si>
    <t>Терёхина  Екатерина Петровна</t>
  </si>
  <si>
    <t>Карабут Наталья Петровна</t>
  </si>
  <si>
    <t>Бредгауэр Сергей Владимирович</t>
  </si>
  <si>
    <t>Киселёв Михаил Васильевич</t>
  </si>
  <si>
    <t>ОТД+ОГК</t>
  </si>
  <si>
    <t>Толбин Игорь Анатольевич</t>
  </si>
  <si>
    <t>Молчанов Сергей Алексеевич</t>
  </si>
  <si>
    <t>Тырон Александр Евгеньевич</t>
  </si>
  <si>
    <t>Бояновская Ксения Алексеевна</t>
  </si>
  <si>
    <t>Дорощенко Елена Ивановна</t>
  </si>
  <si>
    <t>Захарченко Инна Ивановна</t>
  </si>
  <si>
    <t>Шамсутдинов Руслан Рафаилович</t>
  </si>
  <si>
    <t>Павлюченко Елена Юрьевна</t>
  </si>
  <si>
    <t>Беляева Юлия Геннадьевна</t>
  </si>
  <si>
    <t>Компаниец Татьяна Сергеевна</t>
  </si>
  <si>
    <t>Зорина Людмила Викторовна</t>
  </si>
  <si>
    <t>Кузнецова Анна Олеговна</t>
  </si>
  <si>
    <t>Ушаков Александр Викторович</t>
  </si>
  <si>
    <t>Мятеж Оксана Владимировна</t>
  </si>
  <si>
    <t>Комарова Вера Сергеевна</t>
  </si>
  <si>
    <t>Кипятков Николай Михайлович</t>
  </si>
  <si>
    <t>ОГТ</t>
  </si>
  <si>
    <t>Викторов Алексей Валерьевич</t>
  </si>
  <si>
    <t>Ощепков Денис Андреевич</t>
  </si>
  <si>
    <t>Сухарев Дмитрий Андреевич</t>
  </si>
  <si>
    <t>Рычков Юрий Сергеевич</t>
  </si>
  <si>
    <t>Грязнов Владимир Александрович</t>
  </si>
  <si>
    <t>Ощепкова Анна Константиновна</t>
  </si>
  <si>
    <t>Козяков Максим Алексеевич</t>
  </si>
  <si>
    <t>Пашкова Александра Сергеевна</t>
  </si>
  <si>
    <t>Анфёрова Ирина Александровна</t>
  </si>
  <si>
    <t>Александрова Елена Михайловна</t>
  </si>
  <si>
    <t>Зорянова Александра Валерьевна</t>
  </si>
  <si>
    <t>Аксёнова Наталья Юрьевна</t>
  </si>
  <si>
    <t>Видимкина Юлия  Игоревна</t>
  </si>
  <si>
    <t>Белькевич Марина Владимировна</t>
  </si>
  <si>
    <t>Тюкина Юлия Владимировна</t>
  </si>
  <si>
    <t>Темников Дмитрий Владимирович</t>
  </si>
  <si>
    <t>Базанова Анна  Андреевна</t>
  </si>
  <si>
    <t>Янков Павел Валерьевич</t>
  </si>
  <si>
    <t>СУКП</t>
  </si>
  <si>
    <t>Комальцев Андрей Юрьевич</t>
  </si>
  <si>
    <t>Нестерова Екатерина Евгеньевна</t>
  </si>
  <si>
    <t>Игнатов Антон Александрович</t>
  </si>
  <si>
    <t>Флежгауэр Никита Сергеевич</t>
  </si>
  <si>
    <t>Самойлова Наталья Фаритовна</t>
  </si>
  <si>
    <t>Иванов Алексей Васильевич</t>
  </si>
  <si>
    <t>Гречишников Дмитрий Сергеевич</t>
  </si>
  <si>
    <t>Андросова Галина Евгеньевна</t>
  </si>
  <si>
    <t>Павлюченко Вячеслав Иванович</t>
  </si>
  <si>
    <t>Понкратова Елена Борисовна</t>
  </si>
  <si>
    <t>Репченко Марина Ивановна</t>
  </si>
  <si>
    <t>Шадчина Светлана Валерьевна</t>
  </si>
  <si>
    <t>Корнач Марина Викторовна</t>
  </si>
  <si>
    <t>Наумова Елена Сергеевна</t>
  </si>
  <si>
    <t>Крюков Константин Александрович</t>
  </si>
  <si>
    <t>Андросов Евгений Александрович</t>
  </si>
  <si>
    <t xml:space="preserve">
ФИО</t>
  </si>
  <si>
    <t>Подразделение</t>
  </si>
  <si>
    <t>Подразд.</t>
  </si>
  <si>
    <t>Ф.И.О.</t>
  </si>
  <si>
    <t>Группа</t>
  </si>
  <si>
    <t>Номер</t>
  </si>
  <si>
    <t>Кол-во команд</t>
  </si>
  <si>
    <t>Жребий</t>
  </si>
  <si>
    <t>Капитаны</t>
  </si>
  <si>
    <t>Тел.</t>
  </si>
  <si>
    <t>Телефон</t>
  </si>
  <si>
    <t>А</t>
  </si>
  <si>
    <t>Пол</t>
  </si>
  <si>
    <t>М</t>
  </si>
  <si>
    <t>Ж</t>
  </si>
  <si>
    <t>Вася Петрович</t>
  </si>
  <si>
    <t>Поликарпова Анастасия Вячеславовна</t>
  </si>
  <si>
    <t>№</t>
  </si>
  <si>
    <t>Не найдено КП</t>
  </si>
  <si>
    <t>Время с учетом штрафов</t>
  </si>
  <si>
    <t>ВРЕМЯ</t>
  </si>
  <si>
    <t>МЕСТО</t>
  </si>
  <si>
    <t>I</t>
  </si>
  <si>
    <t>II</t>
  </si>
  <si>
    <t>III</t>
  </si>
  <si>
    <t>IV</t>
  </si>
  <si>
    <t>V</t>
  </si>
  <si>
    <t>Стартовый протокол Ориентирование.                                                                                                                                                Группа М</t>
  </si>
  <si>
    <t>Предупреждение о том, что не нашел КП</t>
  </si>
  <si>
    <t>№ участника</t>
  </si>
  <si>
    <t>Время старта</t>
  </si>
  <si>
    <t>Время финиша</t>
  </si>
  <si>
    <t>Итоговое время</t>
  </si>
  <si>
    <t>Время команды</t>
  </si>
  <si>
    <t>Место</t>
  </si>
  <si>
    <t>Баллы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</si>
  <si>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</si>
  <si>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</si>
  <si>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</si>
  <si>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</si>
  <si>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</si>
  <si>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</si>
  <si>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</si>
  <si>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</si>
  <si>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</si>
  <si>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</si>
  <si>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Стартовый протокол Ориентирование (командный зачет)</t>
  </si>
  <si>
    <t>Здесь заполняем только столбец "жребий"</t>
  </si>
  <si>
    <t>При увеличении кол-во команд, необходимо увеличить поле таблицы (на всех страницах, кроме Список по соревнованиям)</t>
  </si>
  <si>
    <t>XVI</t>
  </si>
  <si>
    <t>XVII</t>
  </si>
  <si>
    <t>XVIII</t>
  </si>
  <si>
    <t>XIX</t>
  </si>
  <si>
    <t>XX</t>
  </si>
  <si>
    <t>ОГМетр</t>
  </si>
  <si>
    <t>Савицкая Ирина Анатольевна</t>
  </si>
  <si>
    <t>Евдокименко Елена Владимировна</t>
  </si>
  <si>
    <t>Череводкин Сергей Сергеевич</t>
  </si>
  <si>
    <t>Фомина Евгения Юрьевна</t>
  </si>
  <si>
    <t>Ларин Олег Сергеевич</t>
  </si>
  <si>
    <t>Ковригин Евгений Павлович</t>
  </si>
  <si>
    <t>Маринкина Мария Владимировна</t>
  </si>
  <si>
    <t>Маринкин Алексей Владимирович</t>
  </si>
  <si>
    <t>Череводкина Юлия Викторовна</t>
  </si>
  <si>
    <t>Александров Алексей Анатольевич</t>
  </si>
  <si>
    <t>Лебедева Ирина Александровна</t>
  </si>
  <si>
    <t>Козырев Иван Владимирович</t>
  </si>
  <si>
    <t>Фефелов Роман Игоревич</t>
  </si>
  <si>
    <t>Канаев Сергей Александрович</t>
  </si>
  <si>
    <t>ЦНИОКР</t>
  </si>
  <si>
    <t>Шабанов Дмитрий Николаевич</t>
  </si>
  <si>
    <t>Шевчук Анастасия Алексеевна</t>
  </si>
  <si>
    <t>Обухова Оксана Игоревна</t>
  </si>
  <si>
    <t>Катеров Станислав Александрович</t>
  </si>
  <si>
    <t>Фионова Анна Владимировна</t>
  </si>
  <si>
    <t>Рахвалов Андрей Владимирович</t>
  </si>
  <si>
    <t>Пушкарский Илья Борисович</t>
  </si>
  <si>
    <t>Типикина Мария Анатольевна</t>
  </si>
  <si>
    <t>Сысоева Ксения Алексеевна</t>
  </si>
  <si>
    <t>Осипова Юлия Владимировна</t>
  </si>
  <si>
    <t>Старченкова  Евгения Николаевна</t>
  </si>
  <si>
    <t>Абрамова Елена Геннадьевна</t>
  </si>
  <si>
    <t>Тягнеева Ирина Владимировна</t>
  </si>
  <si>
    <t>Андрюхов Денис Юрьевич</t>
  </si>
  <si>
    <t>Артёмова Елена Александровна</t>
  </si>
  <si>
    <t>ЧОП</t>
  </si>
  <si>
    <t>Блануца Александр Владимирович</t>
  </si>
  <si>
    <t>Коченов Илья Леонидович</t>
  </si>
  <si>
    <t>Вяткин Фёдор Александрович</t>
  </si>
  <si>
    <t>Егоров Александр Сергеевич</t>
  </si>
  <si>
    <t>ШайдулинРамисИльдарович</t>
  </si>
  <si>
    <t>Рыжаков Степан Анатольевич</t>
  </si>
  <si>
    <t>Минин Ярослав Анатольевич</t>
  </si>
  <si>
    <t>Безверхая Наталья Николаевна</t>
  </si>
  <si>
    <t>Кулябин Ефим Викторович</t>
  </si>
  <si>
    <t>Туманова Татьяна Александровна</t>
  </si>
  <si>
    <t>Баронин Станислав Александрович</t>
  </si>
  <si>
    <t>Найдёнов Алексей Валентинович</t>
  </si>
  <si>
    <t>Трубникова Любовь Владимировна</t>
  </si>
  <si>
    <t>Сафонов Сергей Михайлович</t>
  </si>
  <si>
    <t>Статилко Юрий Алексеевич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</si>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</sst>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h:mm:ss;@"/>
    <numFmt numFmtId="166" formatCode="[$-F400]h:mm:ss\ AM/PM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 Cyr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1EFF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Font="0" applyAlignment="0">
      <alignment horizontal="center"/>
    </xf>
    <xf numFmtId="0" fontId="8" fillId="0" borderId="0"/>
  </cellStyleXfs>
  <cellXfs count="1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Border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23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21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1" fontId="5" fillId="0" borderId="0" xfId="0" applyNumberFormat="1" applyFont="1"/>
    <xf numFmtId="1" fontId="5" fillId="0" borderId="0" xfId="0" applyNumberFormat="1" applyFont="1" applyAlignment="1">
      <alignment horizontal="center"/>
    </xf>
    <xf numFmtId="21" fontId="4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wrapText="1"/>
    </xf>
    <xf numFmtId="0" fontId="5" fillId="0" borderId="0" xfId="0" applyFont="1" applyBorder="1" applyAlignment="1">
      <alignment wrapText="1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21" fontId="4" fillId="0" borderId="0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21" fontId="4" fillId="0" borderId="0" xfId="0" applyNumberFormat="1" applyFont="1" applyBorder="1" applyAlignment="1">
      <alignment horizontal="center"/>
    </xf>
    <xf numFmtId="0" fontId="4" fillId="2" borderId="2" xfId="0" applyFont="1" applyFill="1" applyBorder="1"/>
    <xf numFmtId="0" fontId="4" fillId="3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165" fontId="5" fillId="0" borderId="0" xfId="0" applyNumberFormat="1" applyFont="1"/>
    <xf numFmtId="0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/>
    <xf numFmtId="165" fontId="5" fillId="0" borderId="20" xfId="0" applyNumberFormat="1" applyFont="1" applyBorder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21" fontId="4" fillId="0" borderId="20" xfId="0" applyNumberFormat="1" applyFont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6" xfId="0" applyFont="1" applyFill="1" applyBorder="1" applyAlignment="1">
      <alignment horizontal="center" vertical="center" textRotation="90"/>
    </xf>
    <xf numFmtId="0" fontId="5" fillId="0" borderId="0" xfId="0" applyFont="1" applyFill="1" applyBorder="1"/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textRotation="90"/>
    </xf>
    <xf numFmtId="14" fontId="5" fillId="0" borderId="1" xfId="1" applyNumberFormat="1" applyFont="1" applyBorder="1" applyAlignment="1">
      <alignment horizontal="center"/>
    </xf>
    <xf numFmtId="1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3" xfId="2" applyBorder="1" applyAlignment="1">
      <alignment horizontal="center" vertical="center" textRotation="90" wrapText="1"/>
    </xf>
    <xf numFmtId="0" fontId="8" fillId="0" borderId="4" xfId="2" applyNumberFormat="1" applyBorder="1" applyAlignment="1">
      <alignment horizontal="center" vertical="center"/>
    </xf>
    <xf numFmtId="0" fontId="8" fillId="0" borderId="4" xfId="2" applyBorder="1" applyAlignment="1">
      <alignment horizontal="center" vertical="center" textRotation="90"/>
    </xf>
    <xf numFmtId="0" fontId="8" fillId="0" borderId="4" xfId="2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0" xfId="2" applyBorder="1" applyAlignment="1">
      <alignment horizontal="center" vertical="center"/>
    </xf>
    <xf numFmtId="0" fontId="1" fillId="0" borderId="0" xfId="2" applyFont="1" applyBorder="1"/>
    <xf numFmtId="0" fontId="8" fillId="0" borderId="0" xfId="2"/>
    <xf numFmtId="0" fontId="1" fillId="0" borderId="0" xfId="2" applyFont="1"/>
    <xf numFmtId="0" fontId="1" fillId="0" borderId="1" xfId="2" applyFont="1" applyBorder="1" applyAlignment="1" applyProtection="1">
      <alignment horizontal="center"/>
    </xf>
    <xf numFmtId="0" fontId="1" fillId="0" borderId="1" xfId="2" applyNumberFormat="1" applyFont="1" applyBorder="1" applyProtection="1"/>
    <xf numFmtId="0" fontId="1" fillId="0" borderId="1" xfId="2" applyFont="1" applyBorder="1" applyAlignment="1" applyProtection="1">
      <alignment horizontal="center" vertical="center"/>
      <protection locked="0"/>
    </xf>
    <xf numFmtId="0" fontId="1" fillId="0" borderId="1" xfId="2" applyFont="1" applyBorder="1" applyAlignment="1" applyProtection="1">
      <alignment horizontal="center" vertical="center"/>
    </xf>
    <xf numFmtId="0" fontId="1" fillId="0" borderId="0" xfId="2" applyFont="1" applyBorder="1" applyAlignment="1" applyProtection="1">
      <alignment horizontal="center" vertical="center"/>
    </xf>
    <xf numFmtId="0" fontId="1" fillId="0" borderId="0" xfId="2" applyFont="1" applyBorder="1" applyAlignment="1"/>
    <xf numFmtId="0" fontId="3" fillId="0" borderId="0" xfId="2" applyNumberFormat="1" applyFont="1" applyFill="1" applyBorder="1" applyAlignment="1" applyProtection="1">
      <alignment horizontal="center" vertical="center"/>
    </xf>
    <xf numFmtId="0" fontId="3" fillId="0" borderId="1" xfId="2" applyFont="1" applyBorder="1" applyAlignment="1" applyProtection="1">
      <alignment horizontal="center" vertical="center"/>
      <protection locked="0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Border="1" applyAlignment="1" applyProtection="1">
      <alignment horizontal="center"/>
    </xf>
    <xf numFmtId="0" fontId="3" fillId="0" borderId="0" xfId="2" applyNumberFormat="1" applyFont="1" applyFill="1" applyBorder="1" applyAlignment="1" applyProtection="1">
      <alignment vertical="center"/>
    </xf>
    <xf numFmtId="0" fontId="3" fillId="0" borderId="0" xfId="2" applyFont="1" applyFill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horizontal="center" vertical="center"/>
    </xf>
    <xf numFmtId="0" fontId="3" fillId="0" borderId="0" xfId="2" applyNumberFormat="1" applyFont="1" applyBorder="1" applyAlignment="1" applyProtection="1">
      <alignment horizontal="center" vertical="center"/>
    </xf>
    <xf numFmtId="0" fontId="1" fillId="0" borderId="0" xfId="2" applyFont="1" applyBorder="1" applyAlignment="1">
      <alignment horizontal="center"/>
    </xf>
    <xf numFmtId="0" fontId="1" fillId="0" borderId="0" xfId="2" applyNumberFormat="1" applyFont="1" applyBorder="1"/>
    <xf numFmtId="0" fontId="1" fillId="0" borderId="0" xfId="2" applyFont="1" applyAlignment="1">
      <alignment horizontal="center"/>
    </xf>
    <xf numFmtId="0" fontId="1" fillId="0" borderId="0" xfId="2" applyFont="1" applyAlignment="1"/>
    <xf numFmtId="0" fontId="1" fillId="0" borderId="0" xfId="2" applyNumberFormat="1" applyFont="1"/>
    <xf numFmtId="0" fontId="5" fillId="0" borderId="19" xfId="0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21" fontId="5" fillId="0" borderId="0" xfId="0" applyNumberFormat="1" applyFont="1" applyAlignment="1">
      <alignment horizontal="center" vertical="top"/>
    </xf>
    <xf numFmtId="14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21" fontId="5" fillId="0" borderId="35" xfId="0" applyNumberFormat="1" applyFont="1" applyBorder="1" applyAlignment="1">
      <alignment horizontal="center" vertical="top"/>
    </xf>
    <xf numFmtId="21" fontId="5" fillId="0" borderId="36" xfId="0" applyNumberFormat="1" applyFont="1" applyBorder="1" applyAlignment="1">
      <alignment horizontal="center" vertical="top"/>
    </xf>
    <xf numFmtId="21" fontId="5" fillId="0" borderId="37" xfId="0" applyNumberFormat="1" applyFont="1" applyBorder="1" applyAlignment="1">
      <alignment horizontal="center" vertical="top"/>
    </xf>
    <xf numFmtId="1" fontId="5" fillId="0" borderId="39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1" fontId="5" fillId="0" borderId="2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textRotation="90"/>
    </xf>
    <xf numFmtId="21" fontId="5" fillId="0" borderId="27" xfId="0" applyNumberFormat="1" applyFont="1" applyBorder="1" applyAlignment="1">
      <alignment horizontal="center" vertical="center" wrapText="1"/>
    </xf>
    <xf numFmtId="166" fontId="5" fillId="0" borderId="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8" xfId="0" applyFont="1" applyBorder="1"/>
    <xf numFmtId="49" fontId="5" fillId="0" borderId="0" xfId="0" applyNumberFormat="1" applyFont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5" fillId="0" borderId="1" xfId="0" applyFont="1" applyFill="1" applyBorder="1"/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7" xfId="0" applyFont="1" applyFill="1" applyBorder="1"/>
    <xf numFmtId="0" fontId="5" fillId="0" borderId="48" xfId="0" applyFont="1" applyBorder="1"/>
    <xf numFmtId="0" fontId="5" fillId="0" borderId="8" xfId="0" applyFont="1" applyFill="1" applyBorder="1"/>
    <xf numFmtId="0" fontId="5" fillId="0" borderId="10" xfId="0" applyFont="1" applyFill="1" applyBorder="1"/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21" fontId="5" fillId="0" borderId="0" xfId="0" applyNumberFormat="1" applyFont="1" applyAlignment="1">
      <alignment horizontal="center"/>
    </xf>
    <xf numFmtId="166" fontId="6" fillId="0" borderId="21" xfId="0" applyNumberFormat="1" applyFont="1" applyFill="1" applyBorder="1" applyAlignment="1">
      <alignment horizontal="center" vertical="center"/>
    </xf>
    <xf numFmtId="0" fontId="9" fillId="2" borderId="1" xfId="2" applyNumberFormat="1" applyFont="1" applyFill="1" applyBorder="1" applyAlignment="1">
      <alignment horizontal="center" vertical="center"/>
    </xf>
    <xf numFmtId="0" fontId="1" fillId="2" borderId="1" xfId="2" applyNumberFormat="1" applyFont="1" applyFill="1" applyBorder="1" applyAlignment="1">
      <alignment horizontal="center" wrapText="1"/>
    </xf>
    <xf numFmtId="21" fontId="5" fillId="0" borderId="25" xfId="0" applyNumberFormat="1" applyFont="1" applyBorder="1" applyAlignment="1">
      <alignment horizontal="center" vertical="center"/>
    </xf>
    <xf numFmtId="21" fontId="5" fillId="0" borderId="28" xfId="0" applyNumberFormat="1" applyFont="1" applyBorder="1" applyAlignment="1">
      <alignment horizontal="center" vertical="center"/>
    </xf>
    <xf numFmtId="21" fontId="5" fillId="0" borderId="30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21" fontId="5" fillId="0" borderId="26" xfId="0" applyNumberFormat="1" applyFont="1" applyBorder="1" applyAlignment="1">
      <alignment horizontal="center" vertical="center"/>
    </xf>
    <xf numFmtId="21" fontId="5" fillId="0" borderId="0" xfId="0" applyNumberFormat="1" applyFont="1" applyBorder="1" applyAlignment="1">
      <alignment horizontal="center" vertical="center"/>
    </xf>
    <xf numFmtId="21" fontId="5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166" fontId="6" fillId="0" borderId="43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 vertical="center"/>
    </xf>
    <xf numFmtId="166" fontId="6" fillId="0" borderId="49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/>
    </xf>
  </cellXfs>
  <cellStyles count="3">
    <cellStyle name="Обычный" xfId="0" builtinId="0"/>
    <cellStyle name="Обычный 2" xfId="2"/>
    <cellStyle name="Стиль 1" xfId="1"/>
  </cellStyles>
  <dxfs count="5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ont>
        <strike/>
      </font>
      <fill>
        <patternFill>
          <bgColor rgb="FFFF5D5D"/>
        </patternFill>
      </fill>
    </dxf>
    <dxf>
      <font>
        <strike val="0"/>
      </font>
      <fill>
        <patternFill>
          <bgColor rgb="FFFF5D5D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ont>
        <strike/>
      </font>
      <fill>
        <patternFill>
          <bgColor rgb="FFFF5D5D"/>
        </patternFill>
      </fill>
    </dxf>
    <dxf>
      <font>
        <strike val="0"/>
      </font>
      <fill>
        <patternFill>
          <bgColor rgb="FFFF5D5D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ill>
        <patternFill>
          <bgColor rgb="FFFF5D5D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rgb="FFC1EFFF"/>
        </patternFill>
      </fill>
    </dxf>
    <dxf>
      <fill>
        <patternFill>
          <bgColor rgb="FFC1EFFF"/>
        </patternFill>
      </fill>
    </dxf>
    <dxf>
      <fill>
        <patternFill>
          <bgColor rgb="FFFF5D5D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protection locked="1" hidden="0"/>
    </dxf>
    <dxf>
      <border>
        <bottom style="medium">
          <color indexed="64"/>
        </bottom>
      </border>
    </dxf>
    <dxf>
      <alignment horizontal="center" vertical="center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5D5D"/>
      <color rgb="FFFF8585"/>
      <color rgb="FFC1E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9;&#1085;&#1086;&#1077;/&#1057;&#1052;&#1057;/_&#1055;&#1088;&#1086;&#1090;&#1086;&#1082;&#1086;&#1083;/&#1087;&#1086;&#1089;&#1083;&#1077;&#1076;&#1085;&#1103;&#1103;%20_&#1055;&#1088;&#1086;&#1090;&#1086;&#1082;&#1086;&#1083;/&#1057;&#1054;&#1043;&#1056;&#1040;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ый"/>
      <sheetName val="Список"/>
      <sheetName val="Список по соревнованиям"/>
      <sheetName val="Итоги"/>
      <sheetName val="Туртехника-личка I класс"/>
      <sheetName val="Туртехника-личка II класс"/>
      <sheetName val="Туртехника-группа I класс"/>
      <sheetName val="Туртехника-группа II класс"/>
      <sheetName val="Семейный забег"/>
    </sheetNames>
    <sheetDataSet>
      <sheetData sheetId="0"/>
      <sheetData sheetId="1">
        <row r="1">
          <cell r="B1" t="str">
            <v>Подразделение</v>
          </cell>
          <cell r="D1" t="str">
            <v>ФИО</v>
          </cell>
          <cell r="O1" t="str">
            <v>Телефон</v>
          </cell>
        </row>
        <row r="2">
          <cell r="B2" t="str">
            <v>ОГТ</v>
          </cell>
          <cell r="D2" t="str">
            <v>Викторов Алексей Валерьевич</v>
          </cell>
          <cell r="O2">
            <v>0</v>
          </cell>
        </row>
        <row r="3">
          <cell r="B3" t="str">
            <v>ОГТ</v>
          </cell>
          <cell r="D3" t="str">
            <v>Грязнов Владимир Александрович</v>
          </cell>
          <cell r="O3">
            <v>0</v>
          </cell>
        </row>
        <row r="4">
          <cell r="B4" t="str">
            <v>ОГТ</v>
          </cell>
          <cell r="D4" t="str">
            <v>Аксёнова Наталья Юрьевна</v>
          </cell>
          <cell r="O4">
            <v>0</v>
          </cell>
        </row>
        <row r="5">
          <cell r="B5" t="str">
            <v>ОГТ</v>
          </cell>
          <cell r="D5" t="str">
            <v>Анфёрова Ирина Александровна</v>
          </cell>
          <cell r="O5">
            <v>0</v>
          </cell>
        </row>
        <row r="6">
          <cell r="B6" t="str">
            <v>ОГТ</v>
          </cell>
          <cell r="D6" t="str">
            <v>Соловьева Виктория Анатольевна</v>
          </cell>
          <cell r="O6">
            <v>0</v>
          </cell>
        </row>
        <row r="7">
          <cell r="B7" t="str">
            <v>ОГТ</v>
          </cell>
          <cell r="D7" t="str">
            <v>Соловьев Д.Н.</v>
          </cell>
          <cell r="O7">
            <v>0</v>
          </cell>
        </row>
        <row r="8">
          <cell r="B8" t="str">
            <v>ОГТ</v>
          </cell>
          <cell r="D8" t="str">
            <v>Кромский Валерий Алексеевич</v>
          </cell>
          <cell r="O8" t="str">
            <v>8-929-360-72-74</v>
          </cell>
        </row>
        <row r="9">
          <cell r="B9" t="str">
            <v>СМП</v>
          </cell>
          <cell r="D9" t="str">
            <v>Макагон Иван Васильевич</v>
          </cell>
          <cell r="O9" t="str">
            <v>8-951-404-70-44</v>
          </cell>
        </row>
        <row r="10">
          <cell r="B10" t="str">
            <v>СМП</v>
          </cell>
          <cell r="D10" t="str">
            <v>Макагон Иван Иванович</v>
          </cell>
          <cell r="O10">
            <v>0</v>
          </cell>
        </row>
        <row r="11">
          <cell r="B11" t="str">
            <v>СМП</v>
          </cell>
          <cell r="D11" t="str">
            <v>Макагон Вячеслав Иванович</v>
          </cell>
          <cell r="O11">
            <v>0</v>
          </cell>
        </row>
        <row r="12">
          <cell r="B12" t="str">
            <v>СМП</v>
          </cell>
          <cell r="D12" t="str">
            <v>Катеров Станислав Александрович</v>
          </cell>
          <cell r="O12">
            <v>0</v>
          </cell>
        </row>
        <row r="13">
          <cell r="B13" t="str">
            <v>СМП</v>
          </cell>
          <cell r="D13" t="str">
            <v>Морозов Кирилл Сергеевич</v>
          </cell>
          <cell r="O13">
            <v>0</v>
          </cell>
        </row>
        <row r="14">
          <cell r="B14" t="str">
            <v>СМП</v>
          </cell>
          <cell r="D14" t="str">
            <v>Морозова Н.С.</v>
          </cell>
          <cell r="O14">
            <v>0</v>
          </cell>
        </row>
        <row r="15">
          <cell r="B15" t="str">
            <v>СМП</v>
          </cell>
          <cell r="D15" t="str">
            <v>Осипенко Наталья Владимировна</v>
          </cell>
          <cell r="O15">
            <v>0</v>
          </cell>
        </row>
        <row r="16">
          <cell r="B16" t="str">
            <v>СМП</v>
          </cell>
          <cell r="D16" t="str">
            <v>Кисель Галина Геннадьевна</v>
          </cell>
          <cell r="O16">
            <v>0</v>
          </cell>
        </row>
        <row r="17">
          <cell r="B17" t="str">
            <v>СМП</v>
          </cell>
          <cell r="D17" t="str">
            <v>Понамарева Олеся Геннадьевна</v>
          </cell>
          <cell r="O17">
            <v>0</v>
          </cell>
        </row>
        <row r="18">
          <cell r="B18" t="str">
            <v>СГМ</v>
          </cell>
          <cell r="D18" t="str">
            <v>Копылова Екатерина Николаевна</v>
          </cell>
          <cell r="O18" t="str">
            <v>8-999-456-41-39</v>
          </cell>
        </row>
        <row r="19">
          <cell r="B19" t="str">
            <v>СГМ</v>
          </cell>
          <cell r="D19" t="str">
            <v>Лесков Евгений Викторович</v>
          </cell>
          <cell r="O19">
            <v>0</v>
          </cell>
        </row>
        <row r="20">
          <cell r="B20" t="str">
            <v>СГМ</v>
          </cell>
          <cell r="D20" t="str">
            <v>Александров Иван Эдуардович</v>
          </cell>
          <cell r="O20">
            <v>0</v>
          </cell>
        </row>
        <row r="21">
          <cell r="B21" t="str">
            <v>СГМ</v>
          </cell>
          <cell r="D21" t="str">
            <v>Кириленко К.Владимирович</v>
          </cell>
          <cell r="O21">
            <v>0</v>
          </cell>
        </row>
        <row r="22">
          <cell r="B22" t="str">
            <v>СГМ</v>
          </cell>
          <cell r="D22" t="str">
            <v>Власенко Ольга Михайловна</v>
          </cell>
          <cell r="O22">
            <v>0</v>
          </cell>
        </row>
        <row r="23">
          <cell r="B23" t="str">
            <v>СГМ</v>
          </cell>
          <cell r="D23" t="str">
            <v>Власенко С.Е.</v>
          </cell>
          <cell r="O23">
            <v>0</v>
          </cell>
        </row>
        <row r="24">
          <cell r="B24" t="str">
            <v>СГМ</v>
          </cell>
          <cell r="D24" t="str">
            <v>Родин Сергей Михайлович</v>
          </cell>
          <cell r="O24">
            <v>0</v>
          </cell>
        </row>
        <row r="25">
          <cell r="B25" t="str">
            <v>СГМ</v>
          </cell>
          <cell r="D25" t="str">
            <v>Власенко В.А.</v>
          </cell>
          <cell r="O25">
            <v>0</v>
          </cell>
        </row>
        <row r="26">
          <cell r="B26" t="str">
            <v>СГМ</v>
          </cell>
          <cell r="D26" t="str">
            <v>Аркашев Дмитрий Юрьевич</v>
          </cell>
          <cell r="O26">
            <v>0</v>
          </cell>
        </row>
        <row r="27">
          <cell r="B27" t="str">
            <v>СГМ</v>
          </cell>
          <cell r="D27" t="str">
            <v>Осипенко В.</v>
          </cell>
          <cell r="O27">
            <v>0</v>
          </cell>
        </row>
        <row r="28">
          <cell r="B28" t="str">
            <v>СГМ</v>
          </cell>
          <cell r="D28" t="str">
            <v>Шорец Евгений Владимирович</v>
          </cell>
          <cell r="O28">
            <v>0</v>
          </cell>
        </row>
        <row r="29">
          <cell r="B29" t="str">
            <v>СГМ</v>
          </cell>
          <cell r="D29" t="str">
            <v>Лёшин Виктор Викторович</v>
          </cell>
          <cell r="O29">
            <v>0</v>
          </cell>
        </row>
        <row r="30">
          <cell r="B30" t="str">
            <v>ОГК</v>
          </cell>
          <cell r="D30" t="str">
            <v>Таракановский Денис Евгеньевич</v>
          </cell>
          <cell r="O30" t="str">
            <v>8-904-324-73-29</v>
          </cell>
        </row>
        <row r="31">
          <cell r="B31" t="str">
            <v>ОГК</v>
          </cell>
          <cell r="D31" t="str">
            <v>Румянцев Алексей Владимирович</v>
          </cell>
          <cell r="O31">
            <v>0</v>
          </cell>
        </row>
        <row r="32">
          <cell r="B32" t="str">
            <v>ОГК</v>
          </cell>
          <cell r="D32" t="str">
            <v>Румянцева Наталья</v>
          </cell>
          <cell r="O32">
            <v>0</v>
          </cell>
        </row>
        <row r="33">
          <cell r="B33" t="str">
            <v>ОГК</v>
          </cell>
          <cell r="D33" t="str">
            <v>Бойко Данила Андреевич</v>
          </cell>
          <cell r="O33">
            <v>0</v>
          </cell>
        </row>
        <row r="34">
          <cell r="B34" t="str">
            <v>ОГК</v>
          </cell>
          <cell r="D34" t="str">
            <v>Тенькова Евгения Григорьевна</v>
          </cell>
          <cell r="O34">
            <v>0</v>
          </cell>
        </row>
        <row r="35">
          <cell r="B35" t="str">
            <v>ОГК</v>
          </cell>
          <cell r="D35" t="str">
            <v>Балябкина Е.В.</v>
          </cell>
          <cell r="O35">
            <v>0</v>
          </cell>
        </row>
        <row r="36">
          <cell r="B36" t="str">
            <v>ОГК</v>
          </cell>
          <cell r="D36" t="str">
            <v>Метелёв Вадим Геннадьевич</v>
          </cell>
          <cell r="O36">
            <v>0</v>
          </cell>
        </row>
        <row r="37">
          <cell r="B37" t="str">
            <v>ОГК</v>
          </cell>
          <cell r="D37" t="str">
            <v>Румянцева София Алексеевна</v>
          </cell>
          <cell r="O37">
            <v>0</v>
          </cell>
        </row>
        <row r="38">
          <cell r="B38" t="str">
            <v>ОГК</v>
          </cell>
          <cell r="D38" t="str">
            <v>Румянцев Максим Алексеевич</v>
          </cell>
          <cell r="O38">
            <v>0</v>
          </cell>
        </row>
        <row r="39">
          <cell r="B39" t="str">
            <v>ЦНИОКР</v>
          </cell>
          <cell r="D39" t="str">
            <v>Абрамова Елена Геннадьевна</v>
          </cell>
          <cell r="O39">
            <v>0</v>
          </cell>
        </row>
        <row r="40">
          <cell r="B40" t="str">
            <v>ЦНИОКР</v>
          </cell>
          <cell r="D40" t="str">
            <v>Берникова Анастасия Александровна</v>
          </cell>
          <cell r="O40">
            <v>0</v>
          </cell>
        </row>
        <row r="41">
          <cell r="B41" t="str">
            <v>ЦНИОКР</v>
          </cell>
          <cell r="D41" t="str">
            <v>Жусупов Алимжан Берикович</v>
          </cell>
          <cell r="O41">
            <v>0</v>
          </cell>
        </row>
        <row r="42">
          <cell r="B42" t="str">
            <v>ЦНИОКР</v>
          </cell>
          <cell r="D42" t="str">
            <v>Шевчук Анастасия Алексеевна</v>
          </cell>
          <cell r="O42" t="str">
            <v>8-950-212-07-18</v>
          </cell>
        </row>
        <row r="43">
          <cell r="B43" t="str">
            <v>ЦНИОКР</v>
          </cell>
          <cell r="D43" t="str">
            <v>Шевчук Галина Сергеевна</v>
          </cell>
          <cell r="O43">
            <v>0</v>
          </cell>
        </row>
        <row r="44">
          <cell r="B44" t="str">
            <v>ЦНИОКР</v>
          </cell>
          <cell r="D44" t="str">
            <v>Громовиков Виктор Николаевич</v>
          </cell>
          <cell r="O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id="2" name="Таблица243" displayName="Таблица243" ref="A1:E16" totalsRowShown="0" headerRowDxfId="49" dataDxfId="47" headerRowBorderDxfId="48" tableBorderDxfId="46" totalsRowBorderDxfId="45">
  <tableColumns count="5">
    <tableColumn id="1" name="Кол-во команд" dataDxfId="44">
      <calculatedColumnFormula>IF(ISBLANK(B2),"",COUNTA($B$2:B2))</calculatedColumnFormula>
    </tableColumn>
    <tableColumn id="2" name="Подразделение" dataDxfId="43">
      <calculatedColumnFormula>IFERROR(INDEX(Список!A:A,MATCH(D2,Список!B:B,0)),"")</calculatedColumnFormula>
    </tableColumn>
    <tableColumn id="4" name="Жребий" dataDxfId="42"/>
    <tableColumn id="5" name="Капитаны" dataDxfId="41"/>
    <tableColumn id="8" name="Тел." dataDxfId="40">
      <calculatedColumnFormula>IFERROR(INDEX(Список!G:G,MATCH(D2,Список!B:B,0)),"")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zoomScale="115" zoomScaleNormal="115" workbookViewId="0">
      <selection activeCell="I11" sqref="I11"/>
    </sheetView>
  </sheetViews>
  <sheetFormatPr defaultColWidth="8.7109375" defaultRowHeight="15.75" x14ac:dyDescent="0.25"/>
  <cols>
    <col min="1" max="1" width="6.85546875" style="91" customWidth="1"/>
    <col min="2" max="2" width="22.28515625" style="93" customWidth="1"/>
    <col min="3" max="3" width="5.42578125" style="83" customWidth="1"/>
    <col min="4" max="4" width="35.42578125" style="83" bestFit="1" customWidth="1"/>
    <col min="5" max="5" width="21.42578125" style="83" customWidth="1"/>
    <col min="6" max="6" width="10.5703125" style="83" customWidth="1"/>
    <col min="7" max="7" width="9.5703125" style="83" customWidth="1"/>
    <col min="8" max="8" width="8.7109375" style="73"/>
    <col min="9" max="9" width="15.140625" style="73" bestFit="1" customWidth="1"/>
    <col min="10" max="16384" width="8.7109375" style="73"/>
  </cols>
  <sheetData>
    <row r="1" spans="1:15" ht="71.25" customHeight="1" x14ac:dyDescent="0.25">
      <c r="A1" s="65" t="s">
        <v>195</v>
      </c>
      <c r="B1" s="66" t="s">
        <v>190</v>
      </c>
      <c r="C1" s="67" t="s">
        <v>196</v>
      </c>
      <c r="D1" s="68" t="s">
        <v>197</v>
      </c>
      <c r="E1" s="69" t="s">
        <v>198</v>
      </c>
      <c r="F1" s="70"/>
      <c r="G1" s="70"/>
      <c r="H1" s="71"/>
      <c r="I1" s="72"/>
      <c r="J1" s="71"/>
      <c r="K1" s="71"/>
    </row>
    <row r="2" spans="1:15" x14ac:dyDescent="0.25">
      <c r="A2" s="74">
        <v>1</v>
      </c>
      <c r="B2" s="75" t="str">
        <f>IFERROR(INDEX(Список!A:A,MATCH(D2,Список!B:B,0)),"")</f>
        <v>СМП</v>
      </c>
      <c r="C2" s="76">
        <v>8</v>
      </c>
      <c r="D2" s="77" t="str">
        <f>IFERROR(INDEX(Список!B:B,MATCH(1,INDEX((COUNTIF(D1:D$1,Список!B:B)=0)/(Список!F:F="А"),0),0)),"")</f>
        <v>Развин Вячеслав Александрович</v>
      </c>
      <c r="E2" s="77">
        <f>IFERROR(INDEX(Список!G:G,MATCH(D2,Список!B:B,0)),"")</f>
        <v>11</v>
      </c>
      <c r="F2" s="78"/>
      <c r="G2" s="78"/>
      <c r="H2" s="71"/>
      <c r="I2" s="72"/>
      <c r="J2" s="79"/>
      <c r="K2" s="79"/>
      <c r="L2" s="79"/>
      <c r="M2" s="79"/>
      <c r="N2" s="79"/>
      <c r="O2" s="79"/>
    </row>
    <row r="3" spans="1:15" x14ac:dyDescent="0.25">
      <c r="A3" s="74">
        <v>2</v>
      </c>
      <c r="B3" s="75" t="str">
        <f>IFERROR(INDEX(Список!A:A,MATCH(D3,Список!B:B,0)),"")</f>
        <v>МП</v>
      </c>
      <c r="C3" s="76">
        <v>7</v>
      </c>
      <c r="D3" s="77" t="str">
        <f>IFERROR(INDEX(Список!B:B,MATCH(1,INDEX((COUNTIF(D$1:D2,Список!B:B)=0)/(Список!F:F="А"),0),0)),"")</f>
        <v>Саматов Михаил Васильевич</v>
      </c>
      <c r="E3" s="77">
        <f>IFERROR(INDEX(Список!G:G,MATCH(D3,Список!B:B,0)),"")</f>
        <v>22</v>
      </c>
      <c r="F3" s="78"/>
      <c r="G3" s="78"/>
      <c r="H3" s="71"/>
      <c r="I3" s="72"/>
      <c r="J3" s="79"/>
      <c r="K3" s="79"/>
      <c r="L3" s="79"/>
      <c r="M3" s="79"/>
      <c r="N3" s="79"/>
      <c r="O3" s="79"/>
    </row>
    <row r="4" spans="1:15" x14ac:dyDescent="0.25">
      <c r="A4" s="74">
        <v>3</v>
      </c>
      <c r="B4" s="75" t="str">
        <f>IFERROR(INDEX(Список!A:A,MATCH(D4,Список!B:B,0)),"")</f>
        <v>ц.35</v>
      </c>
      <c r="C4" s="76">
        <v>14</v>
      </c>
      <c r="D4" s="77" t="str">
        <f>IFERROR(INDEX(Список!B:B,MATCH(1,INDEX((COUNTIF(D$1:D3,Список!B:B)=0)/(Список!F:F="А"),0),0)),"")</f>
        <v>Клевакина Лариса Геннадьевна</v>
      </c>
      <c r="E4" s="77">
        <f>IFERROR(INDEX(Список!G:G,MATCH(D4,Список!B:B,0)),"")</f>
        <v>33</v>
      </c>
      <c r="F4" s="78"/>
      <c r="G4" s="78"/>
      <c r="H4" s="71"/>
      <c r="I4" s="72"/>
      <c r="J4" s="79"/>
      <c r="K4" s="79"/>
      <c r="L4" s="79"/>
      <c r="M4" s="79"/>
      <c r="N4" s="79"/>
      <c r="O4" s="79"/>
    </row>
    <row r="5" spans="1:15" x14ac:dyDescent="0.25">
      <c r="A5" s="74">
        <v>4</v>
      </c>
      <c r="B5" s="75" t="str">
        <f>IFERROR(INDEX(Список!A:A,MATCH(D5,Список!B:B,0)),"")</f>
        <v>ц.38</v>
      </c>
      <c r="C5" s="76">
        <v>2</v>
      </c>
      <c r="D5" s="77" t="str">
        <f>IFERROR(INDEX(Список!B:B,MATCH(1,INDEX((COUNTIF(D$1:D4,Список!B:B)=0)/(Список!F:F="А"),0),0)),"")</f>
        <v>Снежкова Татьяна Александровна</v>
      </c>
      <c r="E5" s="77">
        <f>IFERROR(INDEX(Список!G:G,MATCH(D5,Список!B:B,0)),"")</f>
        <v>44</v>
      </c>
      <c r="F5" s="78"/>
      <c r="G5" s="78"/>
      <c r="H5" s="71"/>
      <c r="I5" s="72"/>
      <c r="J5" s="79"/>
      <c r="K5" s="79"/>
      <c r="L5" s="79"/>
      <c r="M5" s="79"/>
      <c r="N5" s="79"/>
      <c r="O5" s="79"/>
    </row>
    <row r="6" spans="1:15" x14ac:dyDescent="0.25">
      <c r="A6" s="74">
        <v>5</v>
      </c>
      <c r="B6" s="75" t="str">
        <f>IFERROR(INDEX(Список!A:A,MATCH(D6,Список!B:B,0)),"")</f>
        <v>СГМ</v>
      </c>
      <c r="C6" s="76">
        <v>13</v>
      </c>
      <c r="D6" s="77" t="str">
        <f>IFERROR(INDEX(Список!B:B,MATCH(1,INDEX((COUNTIF(D$1:D5,Список!B:B)=0)/(Список!F:F="А"),0),0)),"")</f>
        <v>Грушецкий Вячеслав Валерьевич</v>
      </c>
      <c r="E6" s="77">
        <f>IFERROR(INDEX(Список!G:G,MATCH(D6,Список!B:B,0)),"")</f>
        <v>55</v>
      </c>
      <c r="F6" s="80"/>
      <c r="G6" s="80"/>
      <c r="I6" s="72"/>
    </row>
    <row r="7" spans="1:15" x14ac:dyDescent="0.25">
      <c r="A7" s="74">
        <v>6</v>
      </c>
      <c r="B7" s="75" t="str">
        <f>IFERROR(INDEX(Список!A:A,MATCH(D7,Список!B:B,0)),"")</f>
        <v>ц.63</v>
      </c>
      <c r="C7" s="81">
        <v>12</v>
      </c>
      <c r="D7" s="77" t="str">
        <f>IFERROR(INDEX(Список!B:B,MATCH(1,INDEX((COUNTIF(D$1:D6,Список!B:B)=0)/(Список!F:F="А"),0),0)),"")</f>
        <v>Дахов Артур Сергеевич</v>
      </c>
      <c r="E7" s="77">
        <f>IFERROR(INDEX(Список!G:G,MATCH(D7,Список!B:B,0)),"")</f>
        <v>66</v>
      </c>
      <c r="F7" s="82"/>
      <c r="G7" s="82"/>
      <c r="H7" s="71"/>
    </row>
    <row r="8" spans="1:15" x14ac:dyDescent="0.25">
      <c r="A8" s="74">
        <v>7</v>
      </c>
      <c r="B8" s="75" t="str">
        <f>IFERROR(INDEX(Список!A:A,MATCH(D8,Список!B:B,0)),"")</f>
        <v>ц.65</v>
      </c>
      <c r="C8" s="81">
        <v>3</v>
      </c>
      <c r="D8" s="77" t="str">
        <f>IFERROR(INDEX(Список!B:B,MATCH(1,INDEX((COUNTIF(D$1:D7,Список!B:B)=0)/(Список!F:F="А"),0),0)),"")</f>
        <v>Шахматов Вячеслав Владимирович</v>
      </c>
      <c r="E8" s="77">
        <f>IFERROR(INDEX(Список!G:G,MATCH(D8,Список!B:B,0)),"")</f>
        <v>78</v>
      </c>
      <c r="F8" s="82"/>
      <c r="G8" s="82"/>
      <c r="H8" s="71"/>
    </row>
    <row r="9" spans="1:15" x14ac:dyDescent="0.25">
      <c r="A9" s="74">
        <v>8</v>
      </c>
      <c r="B9" s="75" t="str">
        <f>IFERROR(INDEX(Список!A:A,MATCH(D9,Список!B:B,0)),"")</f>
        <v>АХС</v>
      </c>
      <c r="C9" s="81">
        <v>4</v>
      </c>
      <c r="D9" s="77" t="str">
        <f>IFERROR(INDEX(Список!B:B,MATCH(1,INDEX((COUNTIF(D$1:D8,Список!B:B)=0)/(Список!F:F="А"),0),0)),"")</f>
        <v>Книга Михаил Александрович</v>
      </c>
      <c r="E9" s="77">
        <f>IFERROR(INDEX(Список!G:G,MATCH(D9,Список!B:B,0)),"")</f>
        <v>87</v>
      </c>
    </row>
    <row r="10" spans="1:15" x14ac:dyDescent="0.25">
      <c r="A10" s="74">
        <v>9</v>
      </c>
      <c r="B10" s="75" t="str">
        <f>IFERROR(INDEX(Список!A:A,MATCH(D10,Список!B:B,0)),"")</f>
        <v>ОТД+ОГК</v>
      </c>
      <c r="C10" s="81">
        <v>5</v>
      </c>
      <c r="D10" s="77" t="str">
        <f>IFERROR(INDEX(Список!B:B,MATCH(1,INDEX((COUNTIF(D$1:D9,Список!B:B)=0)/(Список!F:F="А"),0),0)),"")</f>
        <v>Павлюченко Елена Юрьевна</v>
      </c>
      <c r="E10" s="77">
        <f>IFERROR(INDEX(Список!G:G,MATCH(D10,Список!B:B,0)),"")</f>
        <v>741</v>
      </c>
    </row>
    <row r="11" spans="1:15" x14ac:dyDescent="0.25">
      <c r="A11" s="74">
        <v>10</v>
      </c>
      <c r="B11" s="75" t="str">
        <f>IFERROR(INDEX(Список!A:A,MATCH(D11,Список!B:B,0)),"")</f>
        <v>ОГТ</v>
      </c>
      <c r="C11" s="81">
        <v>6</v>
      </c>
      <c r="D11" s="77" t="str">
        <f>IFERROR(INDEX(Список!B:B,MATCH(1,INDEX((COUNTIF(D$1:D10,Список!B:B)=0)/(Список!F:F="А"),0),0)),"")</f>
        <v>Грязнов Владимир Александрович</v>
      </c>
      <c r="E11" s="77">
        <f>IFERROR(INDEX(Список!G:G,MATCH(D11,Список!B:B,0)),"")</f>
        <v>111</v>
      </c>
    </row>
    <row r="12" spans="1:15" x14ac:dyDescent="0.25">
      <c r="A12" s="74">
        <v>11</v>
      </c>
      <c r="B12" s="75" t="str">
        <f>IFERROR(INDEX(Список!A:A,MATCH(D12,Список!B:B,0)),"")</f>
        <v>СУКП</v>
      </c>
      <c r="C12" s="81">
        <v>11</v>
      </c>
      <c r="D12" s="77" t="str">
        <f>IFERROR(INDEX(Список!B:B,MATCH(1,INDEX((COUNTIF(D$1:D11,Список!B:B)=0)/(Список!F:F="А"),0),0)),"")</f>
        <v>Нестерова Екатерина Евгеньевна</v>
      </c>
      <c r="E12" s="77">
        <f>IFERROR(INDEX(Список!G:G,MATCH(D12,Список!B:B,0)),"")</f>
        <v>0</v>
      </c>
    </row>
    <row r="13" spans="1:15" x14ac:dyDescent="0.25">
      <c r="A13" s="74">
        <v>12</v>
      </c>
      <c r="B13" s="75" t="str">
        <f>IFERROR(INDEX(Список!A:A,MATCH(D13,Список!B:B,0)),"")</f>
        <v>ОГМетр</v>
      </c>
      <c r="C13" s="81">
        <v>1</v>
      </c>
      <c r="D13" s="77" t="str">
        <f>IFERROR(INDEX(Список!B:B,MATCH(1,INDEX((COUNTIF(D$1:D12,Список!B:B)=0)/(Список!F:F="А"),0),0)),"")</f>
        <v>Канаев Сергей Александрович</v>
      </c>
      <c r="E13" s="77">
        <f>IFERROR(INDEX(Список!G:G,MATCH(D13,Список!B:B,0)),"")</f>
        <v>0</v>
      </c>
    </row>
    <row r="14" spans="1:15" x14ac:dyDescent="0.25">
      <c r="A14" s="74">
        <v>13</v>
      </c>
      <c r="B14" s="75" t="str">
        <f>IFERROR(INDEX(Список!A:A,MATCH(D14,Список!B:B,0)),"")</f>
        <v>ЦНИОКР</v>
      </c>
      <c r="C14" s="81">
        <v>9</v>
      </c>
      <c r="D14" s="77" t="str">
        <f>IFERROR(INDEX(Список!B:B,MATCH(1,INDEX((COUNTIF(D$1:D13,Список!B:B)=0)/(Список!F:F="А"),0),0)),"")</f>
        <v>Типикина Мария Анатольевна</v>
      </c>
      <c r="E14" s="77">
        <f>IFERROR(INDEX(Список!G:G,MATCH(D14,Список!B:B,0)),"")</f>
        <v>0</v>
      </c>
      <c r="F14" s="88" t="str">
        <f>IFERROR(INDEX([1]Список!O:O,MATCH(Таблица243[[#This Row],[Капитаны]],[1]Список!D:D,0)),"")</f>
        <v/>
      </c>
    </row>
    <row r="15" spans="1:15" x14ac:dyDescent="0.25">
      <c r="A15" s="74">
        <v>14</v>
      </c>
      <c r="B15" s="75" t="str">
        <f>IFERROR(INDEX(Список!A:A,MATCH(D15,Список!B:B,0)),"")</f>
        <v>ЧОП</v>
      </c>
      <c r="C15" s="81">
        <v>10</v>
      </c>
      <c r="D15" s="77" t="str">
        <f>IFERROR(INDEX(Список!B:B,MATCH(1,INDEX((COUNTIF(D$1:D14,Список!B:B)=0)/(Список!F:F="А"),0),0)),"")</f>
        <v>Рыжаков Степан Анатольевич</v>
      </c>
      <c r="E15" s="77">
        <f>IFERROR(INDEX(Список!G:G,MATCH(D15,Список!B:B,0)),"")</f>
        <v>0</v>
      </c>
    </row>
    <row r="16" spans="1:15" x14ac:dyDescent="0.25">
      <c r="A16" s="74">
        <v>15</v>
      </c>
      <c r="B16" s="75" t="str">
        <f>IFERROR(INDEX(Список!A:A,MATCH(D16,Список!B:B,0)),"")</f>
        <v/>
      </c>
      <c r="C16" s="81"/>
      <c r="D16" s="77" t="str">
        <f>IFERROR(INDEX(Список!B:B,MATCH(1,INDEX((COUNTIF(D$1:D15,Список!B:B)=0)/(Список!F:F="А"),0),0)),"")</f>
        <v/>
      </c>
      <c r="E16" s="77" t="str">
        <f>IFERROR(INDEX(Список!G:G,MATCH(D16,Список!B:B,0)),"")</f>
        <v/>
      </c>
    </row>
    <row r="17" spans="1:5" x14ac:dyDescent="0.25">
      <c r="A17" s="84"/>
      <c r="B17" s="85" t="str">
        <f>IFERROR(INDEX([1]Список!B:B,MATCH(Таблица243[[#This Row],[Капитаны]],[1]Список!D:D,0)),"")</f>
        <v/>
      </c>
      <c r="C17" s="86"/>
      <c r="D17" s="87"/>
    </row>
    <row r="18" spans="1:5" x14ac:dyDescent="0.25">
      <c r="A18" s="84"/>
      <c r="B18" s="85" t="str">
        <f>IFERROR(INDEX([1]Список!B:B,MATCH(Таблица243[[#This Row],[Капитаны]],[1]Список!D:D,0)),"")</f>
        <v/>
      </c>
      <c r="C18" s="86"/>
      <c r="D18" s="87"/>
      <c r="E18" s="88" t="str">
        <f>IFERROR(INDEX([1]Список!O:O,MATCH(Таблица243[[#This Row],[Капитаны]],[1]Список!D:D,0)),"")</f>
        <v/>
      </c>
    </row>
    <row r="19" spans="1:5" x14ac:dyDescent="0.25">
      <c r="A19" s="89"/>
      <c r="B19" s="90"/>
      <c r="C19" s="82"/>
      <c r="D19" s="82"/>
      <c r="E19" s="82"/>
    </row>
    <row r="20" spans="1:5" x14ac:dyDescent="0.25">
      <c r="A20" s="89"/>
      <c r="B20" s="90"/>
      <c r="C20" s="82"/>
      <c r="D20" s="82"/>
      <c r="E20" s="82"/>
    </row>
    <row r="21" spans="1:5" x14ac:dyDescent="0.25">
      <c r="A21" s="89"/>
      <c r="B21" s="90"/>
      <c r="C21" s="82"/>
      <c r="D21" s="82"/>
      <c r="E21" s="82"/>
    </row>
    <row r="22" spans="1:5" x14ac:dyDescent="0.25">
      <c r="A22" s="89"/>
      <c r="B22" s="141" t="s">
        <v>236</v>
      </c>
      <c r="C22" s="141"/>
      <c r="D22" s="141"/>
      <c r="E22" s="82"/>
    </row>
    <row r="23" spans="1:5" x14ac:dyDescent="0.25">
      <c r="A23" s="89"/>
      <c r="B23" s="141"/>
      <c r="C23" s="141"/>
      <c r="D23" s="141"/>
      <c r="E23" s="82"/>
    </row>
    <row r="24" spans="1:5" x14ac:dyDescent="0.25">
      <c r="A24" s="89"/>
      <c r="B24" s="142" t="s">
        <v>237</v>
      </c>
      <c r="C24" s="142"/>
      <c r="D24" s="142"/>
      <c r="E24" s="82"/>
    </row>
    <row r="25" spans="1:5" x14ac:dyDescent="0.25">
      <c r="B25" s="142"/>
      <c r="C25" s="142"/>
      <c r="D25" s="142"/>
    </row>
    <row r="28" spans="1:5" x14ac:dyDescent="0.25">
      <c r="B28" s="92"/>
      <c r="C28" s="92"/>
      <c r="D28" s="92"/>
      <c r="E28" s="92"/>
    </row>
    <row r="29" spans="1:5" x14ac:dyDescent="0.25">
      <c r="A29" s="92"/>
      <c r="B29" s="92"/>
      <c r="C29" s="92"/>
      <c r="D29" s="92"/>
      <c r="E29" s="92"/>
    </row>
    <row r="30" spans="1:5" x14ac:dyDescent="0.25">
      <c r="A30" s="92"/>
      <c r="B30" s="92"/>
      <c r="C30" s="92"/>
      <c r="D30" s="92"/>
      <c r="E30" s="92"/>
    </row>
    <row r="31" spans="1:5" x14ac:dyDescent="0.25">
      <c r="A31" s="92"/>
      <c r="B31" s="92"/>
      <c r="C31" s="92"/>
      <c r="D31" s="92"/>
      <c r="E31" s="92"/>
    </row>
    <row r="32" spans="1:5" x14ac:dyDescent="0.25">
      <c r="A32" s="92"/>
      <c r="B32" s="92"/>
      <c r="C32" s="92"/>
      <c r="D32" s="92"/>
      <c r="E32" s="92"/>
    </row>
    <row r="33" spans="1:5" x14ac:dyDescent="0.25">
      <c r="A33" s="92"/>
      <c r="B33" s="92"/>
      <c r="C33" s="92"/>
      <c r="D33" s="92"/>
      <c r="E33" s="92"/>
    </row>
    <row r="34" spans="1:5" x14ac:dyDescent="0.25">
      <c r="A34" s="92"/>
      <c r="B34" s="92"/>
      <c r="C34" s="92"/>
      <c r="D34" s="92"/>
      <c r="E34" s="92"/>
    </row>
    <row r="35" spans="1:5" x14ac:dyDescent="0.25">
      <c r="A35" s="92"/>
      <c r="B35" s="92"/>
      <c r="C35" s="92"/>
      <c r="D35" s="92"/>
      <c r="E35" s="92"/>
    </row>
    <row r="36" spans="1:5" x14ac:dyDescent="0.25">
      <c r="A36" s="92"/>
      <c r="B36" s="92"/>
      <c r="C36" s="92"/>
      <c r="D36" s="92"/>
      <c r="E36" s="92"/>
    </row>
    <row r="37" spans="1:5" x14ac:dyDescent="0.25">
      <c r="A37" s="92"/>
      <c r="B37" s="92"/>
      <c r="C37" s="92"/>
      <c r="D37" s="92"/>
      <c r="E37" s="92"/>
    </row>
    <row r="38" spans="1:5" x14ac:dyDescent="0.25">
      <c r="A38" s="92"/>
      <c r="B38" s="92"/>
      <c r="C38" s="92"/>
      <c r="D38" s="92"/>
      <c r="E38" s="92"/>
    </row>
    <row r="39" spans="1:5" x14ac:dyDescent="0.25">
      <c r="A39" s="92"/>
      <c r="B39" s="92"/>
      <c r="C39" s="92"/>
      <c r="D39" s="92"/>
      <c r="E39" s="92"/>
    </row>
  </sheetData>
  <sheetProtection insertRows="0" selectLockedCells="1" sort="0" autoFilter="0"/>
  <mergeCells count="2">
    <mergeCell ref="B22:D23"/>
    <mergeCell ref="B24:D25"/>
  </mergeCells>
  <pageMargins left="0.7" right="0.7" top="0.75" bottom="0.75" header="0.3" footer="0.3"/>
  <pageSetup paperSize="9" fitToWidth="0" orientation="landscape" horizontalDpi="0" verticalDpi="0" r:id="rId1"/>
  <colBreaks count="1" manualBreakCount="1">
    <brk id="9" max="1048575" man="1"/>
  </colBreaks>
  <ignoredErrors>
    <ignoredError sqref="E2 B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9"/>
  <sheetViews>
    <sheetView tabSelected="1" zoomScale="70" zoomScaleNormal="70" workbookViewId="0">
      <pane ySplit="1" topLeftCell="A2" activePane="bottomLeft" state="frozen"/>
      <selection pane="bottomLeft" activeCell="Q163" sqref="Q163"/>
    </sheetView>
  </sheetViews>
  <sheetFormatPr defaultRowHeight="18.75" x14ac:dyDescent="0.3"/>
  <cols>
    <col min="1" max="1" width="21" style="10" customWidth="1"/>
    <col min="2" max="2" width="47.140625" style="10" bestFit="1" customWidth="1"/>
    <col min="3" max="8" width="9.140625" style="10"/>
    <col min="9" max="9" width="15.85546875" style="10" customWidth="1"/>
    <col min="10" max="10" width="4.7109375" style="10" customWidth="1"/>
    <col min="11" max="11" width="5" style="10" customWidth="1"/>
    <col min="12" max="12" width="5.28515625" style="10" customWidth="1"/>
    <col min="13" max="16384" width="9.140625" style="10"/>
  </cols>
  <sheetData>
    <row r="1" spans="1:9" ht="106.5" x14ac:dyDescent="0.3">
      <c r="A1" s="64" t="s">
        <v>190</v>
      </c>
      <c r="B1" s="54" t="s">
        <v>189</v>
      </c>
      <c r="C1" s="55" t="s">
        <v>201</v>
      </c>
      <c r="D1" s="55" t="s">
        <v>0</v>
      </c>
      <c r="E1" s="55" t="s">
        <v>1</v>
      </c>
      <c r="F1" s="55" t="s">
        <v>197</v>
      </c>
      <c r="G1" s="56" t="s">
        <v>199</v>
      </c>
      <c r="H1" s="55" t="s">
        <v>2</v>
      </c>
      <c r="I1" s="55" t="s">
        <v>3</v>
      </c>
    </row>
    <row r="2" spans="1:9" x14ac:dyDescent="0.3">
      <c r="A2" s="57" t="s">
        <v>4</v>
      </c>
      <c r="B2" s="58" t="s">
        <v>5</v>
      </c>
      <c r="C2" s="11" t="str">
        <f>IF(RIGHT(B2)="ч","М",IF(RIGHT(B2)="а","Ж",IF(RIGHT(B2)=".","---"," ")))</f>
        <v>М</v>
      </c>
      <c r="D2" s="59" t="s">
        <v>6</v>
      </c>
      <c r="E2" s="60"/>
      <c r="F2" s="60"/>
      <c r="H2" s="11">
        <f>IFERROR(INDEX(Таблица243[Жребий],MATCH(Список!A2,Таблица243[Подразделение],0)),"")</f>
        <v>8</v>
      </c>
      <c r="I2" s="61">
        <v>32405</v>
      </c>
    </row>
    <row r="3" spans="1:9" x14ac:dyDescent="0.3">
      <c r="A3" s="57" t="s">
        <v>4</v>
      </c>
      <c r="B3" s="10" t="s">
        <v>7</v>
      </c>
      <c r="C3" s="11" t="str">
        <f t="shared" ref="C3:C66" si="0">IF(RIGHT(B3)="ч","М",IF(RIGHT(B3)="а","Ж",IF(RIGHT(B3)=".","---"," ")))</f>
        <v>М</v>
      </c>
      <c r="D3" s="19" t="s">
        <v>6</v>
      </c>
      <c r="E3" s="11"/>
      <c r="F3" s="11" t="s">
        <v>200</v>
      </c>
      <c r="G3" s="10">
        <v>11</v>
      </c>
      <c r="H3" s="11">
        <f>IFERROR(INDEX(Таблица243[Жребий],MATCH(Список!A3,Таблица243[Подразделение],0)),"")</f>
        <v>8</v>
      </c>
      <c r="I3" s="62">
        <v>31807</v>
      </c>
    </row>
    <row r="4" spans="1:9" x14ac:dyDescent="0.3">
      <c r="A4" s="57" t="s">
        <v>4</v>
      </c>
      <c r="B4" s="10" t="s">
        <v>8</v>
      </c>
      <c r="C4" s="11" t="str">
        <f t="shared" si="0"/>
        <v>Ж</v>
      </c>
      <c r="D4" s="19"/>
      <c r="E4" s="11"/>
      <c r="F4" s="11"/>
      <c r="H4" s="11">
        <f>IFERROR(INDEX(Таблица243[Жребий],MATCH(Список!A4,Таблица243[Подразделение],0)),"")</f>
        <v>8</v>
      </c>
      <c r="I4" s="62">
        <v>32346</v>
      </c>
    </row>
    <row r="5" spans="1:9" x14ac:dyDescent="0.3">
      <c r="A5" s="57" t="s">
        <v>4</v>
      </c>
      <c r="B5" s="10" t="s">
        <v>9</v>
      </c>
      <c r="C5" s="11" t="str">
        <f t="shared" si="0"/>
        <v>М</v>
      </c>
      <c r="D5" s="19" t="s">
        <v>6</v>
      </c>
      <c r="E5" s="11"/>
      <c r="F5" s="11"/>
      <c r="H5" s="11">
        <f>IFERROR(INDEX(Таблица243[Жребий],MATCH(Список!A5,Таблица243[Подразделение],0)),"")</f>
        <v>8</v>
      </c>
      <c r="I5" s="62">
        <v>30815</v>
      </c>
    </row>
    <row r="6" spans="1:9" x14ac:dyDescent="0.3">
      <c r="A6" s="57" t="s">
        <v>4</v>
      </c>
      <c r="B6" s="10" t="s">
        <v>10</v>
      </c>
      <c r="C6" s="11" t="str">
        <f t="shared" si="0"/>
        <v>М</v>
      </c>
      <c r="D6" s="19"/>
      <c r="E6" s="11" t="s">
        <v>12</v>
      </c>
      <c r="F6" s="11"/>
      <c r="H6" s="11">
        <f>IFERROR(INDEX(Таблица243[Жребий],MATCH(Список!A6,Таблица243[Подразделение],0)),"")</f>
        <v>8</v>
      </c>
      <c r="I6" s="62">
        <v>34845</v>
      </c>
    </row>
    <row r="7" spans="1:9" x14ac:dyDescent="0.3">
      <c r="A7" s="57" t="s">
        <v>4</v>
      </c>
      <c r="B7" s="10" t="s">
        <v>11</v>
      </c>
      <c r="C7" s="11" t="str">
        <f t="shared" si="0"/>
        <v>М</v>
      </c>
      <c r="D7" s="19"/>
      <c r="E7" s="11" t="s">
        <v>12</v>
      </c>
      <c r="F7" s="11"/>
      <c r="H7" s="11">
        <f>IFERROR(INDEX(Таблица243[Жребий],MATCH(Список!A7,Таблица243[Подразделение],0)),"")</f>
        <v>8</v>
      </c>
      <c r="I7" s="62">
        <v>31758</v>
      </c>
    </row>
    <row r="8" spans="1:9" x14ac:dyDescent="0.3">
      <c r="A8" s="57" t="s">
        <v>4</v>
      </c>
      <c r="B8" s="7" t="s">
        <v>204</v>
      </c>
      <c r="C8" s="11" t="str">
        <f t="shared" si="0"/>
        <v>М</v>
      </c>
      <c r="D8" s="19"/>
      <c r="E8" s="11" t="s">
        <v>12</v>
      </c>
      <c r="F8" s="11"/>
      <c r="H8" s="11">
        <f>IFERROR(INDEX(Таблица243[Жребий],MATCH(Список!A8,Таблица243[Подразделение],0)),"")</f>
        <v>8</v>
      </c>
      <c r="I8" s="62">
        <v>32313</v>
      </c>
    </row>
    <row r="9" spans="1:9" x14ac:dyDescent="0.3">
      <c r="A9" s="57" t="s">
        <v>4</v>
      </c>
      <c r="B9" s="10" t="s">
        <v>13</v>
      </c>
      <c r="C9" s="11" t="str">
        <f t="shared" si="0"/>
        <v>Ж</v>
      </c>
      <c r="D9" s="19" t="s">
        <v>6</v>
      </c>
      <c r="E9" s="11"/>
      <c r="F9" s="11"/>
      <c r="H9" s="11">
        <f>IFERROR(INDEX(Таблица243[Жребий],MATCH(Список!A9,Таблица243[Подразделение],0)),"")</f>
        <v>8</v>
      </c>
      <c r="I9" s="62">
        <v>26558</v>
      </c>
    </row>
    <row r="10" spans="1:9" x14ac:dyDescent="0.3">
      <c r="A10" s="57" t="s">
        <v>4</v>
      </c>
      <c r="B10" s="10" t="s">
        <v>14</v>
      </c>
      <c r="C10" s="11" t="str">
        <f t="shared" si="0"/>
        <v>М</v>
      </c>
      <c r="D10" s="19"/>
      <c r="E10" s="11"/>
      <c r="F10" s="63"/>
      <c r="H10" s="11">
        <f>IFERROR(INDEX(Таблица243[Жребий],MATCH(Список!A10,Таблица243[Подразделение],0)),"")</f>
        <v>8</v>
      </c>
      <c r="I10" s="62">
        <v>30419</v>
      </c>
    </row>
    <row r="11" spans="1:9" x14ac:dyDescent="0.3">
      <c r="A11" s="57" t="s">
        <v>4</v>
      </c>
      <c r="B11" s="10" t="s">
        <v>15</v>
      </c>
      <c r="C11" s="11" t="str">
        <f t="shared" si="0"/>
        <v>Ж</v>
      </c>
      <c r="D11" s="19"/>
      <c r="E11" s="11"/>
      <c r="F11" s="11"/>
      <c r="H11" s="11">
        <f>IFERROR(INDEX(Таблица243[Жребий],MATCH(Список!A11,Таблица243[Подразделение],0)),"")</f>
        <v>8</v>
      </c>
      <c r="I11" s="62">
        <v>32916</v>
      </c>
    </row>
    <row r="12" spans="1:9" x14ac:dyDescent="0.3">
      <c r="A12" s="57" t="s">
        <v>4</v>
      </c>
      <c r="B12" s="10" t="s">
        <v>16</v>
      </c>
      <c r="C12" s="11" t="str">
        <f t="shared" si="0"/>
        <v>М</v>
      </c>
      <c r="D12" s="19"/>
      <c r="E12" s="11"/>
      <c r="F12" s="11"/>
      <c r="H12" s="11">
        <f>IFERROR(INDEX(Таблица243[Жребий],MATCH(Список!A12,Таблица243[Подразделение],0)),"")</f>
        <v>8</v>
      </c>
      <c r="I12" s="62">
        <v>34356</v>
      </c>
    </row>
    <row r="13" spans="1:9" x14ac:dyDescent="0.3">
      <c r="A13" s="57" t="s">
        <v>4</v>
      </c>
      <c r="B13" s="10" t="s">
        <v>17</v>
      </c>
      <c r="C13" s="11" t="str">
        <f t="shared" si="0"/>
        <v>М</v>
      </c>
      <c r="D13" s="19"/>
      <c r="E13" s="11"/>
      <c r="F13" s="11"/>
      <c r="H13" s="11">
        <f>IFERROR(INDEX(Таблица243[Жребий],MATCH(Список!A13,Таблица243[Подразделение],0)),"")</f>
        <v>8</v>
      </c>
      <c r="I13" s="62">
        <v>30954</v>
      </c>
    </row>
    <row r="14" spans="1:9" x14ac:dyDescent="0.3">
      <c r="A14" s="57" t="s">
        <v>4</v>
      </c>
      <c r="B14" s="10" t="s">
        <v>18</v>
      </c>
      <c r="C14" s="11" t="str">
        <f t="shared" si="0"/>
        <v>М</v>
      </c>
      <c r="D14" s="19"/>
      <c r="E14" s="11"/>
      <c r="F14" s="11"/>
      <c r="H14" s="11">
        <f>IFERROR(INDEX(Таблица243[Жребий],MATCH(Список!A14,Таблица243[Подразделение],0)),"")</f>
        <v>8</v>
      </c>
      <c r="I14" s="62">
        <v>31383</v>
      </c>
    </row>
    <row r="15" spans="1:9" x14ac:dyDescent="0.3">
      <c r="A15" s="57" t="s">
        <v>4</v>
      </c>
      <c r="B15" s="10" t="s">
        <v>19</v>
      </c>
      <c r="C15" s="11" t="str">
        <f t="shared" si="0"/>
        <v>Ж</v>
      </c>
      <c r="D15" s="19"/>
      <c r="E15" s="11"/>
      <c r="F15" s="11"/>
      <c r="H15" s="11">
        <f>IFERROR(INDEX(Таблица243[Жребий],MATCH(Список!A15,Таблица243[Подразделение],0)),"")</f>
        <v>8</v>
      </c>
      <c r="I15" s="62">
        <v>33033</v>
      </c>
    </row>
    <row r="16" spans="1:9" x14ac:dyDescent="0.3">
      <c r="A16" s="57" t="s">
        <v>4</v>
      </c>
      <c r="B16" s="10" t="s">
        <v>20</v>
      </c>
      <c r="C16" s="11" t="str">
        <f t="shared" si="0"/>
        <v>М</v>
      </c>
      <c r="D16" s="19"/>
      <c r="E16" s="11" t="s">
        <v>12</v>
      </c>
      <c r="F16" s="11"/>
      <c r="H16" s="11">
        <f>IFERROR(INDEX(Таблица243[Жребий],MATCH(Список!A16,Таблица243[Подразделение],0)),"")</f>
        <v>8</v>
      </c>
      <c r="I16" s="62">
        <v>29965</v>
      </c>
    </row>
    <row r="17" spans="1:9" x14ac:dyDescent="0.3">
      <c r="A17" s="57" t="s">
        <v>4</v>
      </c>
      <c r="B17" s="10" t="s">
        <v>21</v>
      </c>
      <c r="C17" s="11" t="str">
        <f t="shared" si="0"/>
        <v>М</v>
      </c>
      <c r="D17" s="19"/>
      <c r="E17" s="11"/>
      <c r="F17" s="11"/>
      <c r="H17" s="11">
        <f>IFERROR(INDEX(Таблица243[Жребий],MATCH(Список!A17,Таблица243[Подразделение],0)),"")</f>
        <v>8</v>
      </c>
      <c r="I17" s="62">
        <v>30477</v>
      </c>
    </row>
    <row r="18" spans="1:9" x14ac:dyDescent="0.3">
      <c r="A18" s="57" t="s">
        <v>4</v>
      </c>
      <c r="B18" s="10" t="s">
        <v>22</v>
      </c>
      <c r="C18" s="11" t="str">
        <f t="shared" si="0"/>
        <v>М</v>
      </c>
      <c r="D18" s="19"/>
      <c r="E18" s="11"/>
      <c r="F18" s="11"/>
      <c r="H18" s="11">
        <f>IFERROR(INDEX(Таблица243[Жребий],MATCH(Список!A18,Таблица243[Подразделение],0)),"")</f>
        <v>8</v>
      </c>
      <c r="I18" s="62">
        <v>25449</v>
      </c>
    </row>
    <row r="19" spans="1:9" x14ac:dyDescent="0.3">
      <c r="A19" s="10" t="s">
        <v>23</v>
      </c>
      <c r="B19" s="10" t="s">
        <v>24</v>
      </c>
      <c r="C19" s="11" t="str">
        <f t="shared" si="0"/>
        <v>М</v>
      </c>
      <c r="D19" s="19"/>
      <c r="E19" s="11" t="s">
        <v>12</v>
      </c>
      <c r="F19" s="11"/>
      <c r="H19" s="11">
        <f>IFERROR(INDEX(Таблица243[Жребий],MATCH(Список!A19,Таблица243[Подразделение],0)),"")</f>
        <v>7</v>
      </c>
      <c r="I19" s="62">
        <v>32767</v>
      </c>
    </row>
    <row r="20" spans="1:9" x14ac:dyDescent="0.3">
      <c r="A20" s="10" t="s">
        <v>23</v>
      </c>
      <c r="B20" s="10" t="s">
        <v>25</v>
      </c>
      <c r="C20" s="11" t="str">
        <f t="shared" si="0"/>
        <v>М</v>
      </c>
      <c r="D20" s="19" t="s">
        <v>6</v>
      </c>
      <c r="E20" s="11"/>
      <c r="F20" s="11"/>
      <c r="H20" s="11">
        <f>IFERROR(INDEX(Таблица243[Жребий],MATCH(Список!A20,Таблица243[Подразделение],0)),"")</f>
        <v>7</v>
      </c>
      <c r="I20" s="62">
        <v>29199</v>
      </c>
    </row>
    <row r="21" spans="1:9" x14ac:dyDescent="0.3">
      <c r="A21" s="10" t="s">
        <v>23</v>
      </c>
      <c r="B21" s="10" t="s">
        <v>26</v>
      </c>
      <c r="C21" s="11" t="str">
        <f t="shared" si="0"/>
        <v>М</v>
      </c>
      <c r="D21" s="19" t="s">
        <v>6</v>
      </c>
      <c r="E21" s="11" t="s">
        <v>12</v>
      </c>
      <c r="F21" s="11"/>
      <c r="H21" s="11">
        <f>IFERROR(INDEX(Таблица243[Жребий],MATCH(Список!A21,Таблица243[Подразделение],0)),"")</f>
        <v>7</v>
      </c>
      <c r="I21" s="62">
        <v>31742</v>
      </c>
    </row>
    <row r="22" spans="1:9" x14ac:dyDescent="0.3">
      <c r="A22" s="10" t="s">
        <v>23</v>
      </c>
      <c r="B22" s="10" t="s">
        <v>27</v>
      </c>
      <c r="C22" s="11" t="str">
        <f t="shared" si="0"/>
        <v>М</v>
      </c>
      <c r="D22" s="19" t="s">
        <v>6</v>
      </c>
      <c r="E22" s="11"/>
      <c r="F22" s="11"/>
      <c r="H22" s="11">
        <f>IFERROR(INDEX(Таблица243[Жребий],MATCH(Список!A22,Таблица243[Подразделение],0)),"")</f>
        <v>7</v>
      </c>
      <c r="I22" s="62">
        <v>32131</v>
      </c>
    </row>
    <row r="23" spans="1:9" x14ac:dyDescent="0.3">
      <c r="A23" s="10" t="s">
        <v>23</v>
      </c>
      <c r="B23" s="10" t="s">
        <v>28</v>
      </c>
      <c r="C23" s="11" t="str">
        <f t="shared" si="0"/>
        <v>Ж</v>
      </c>
      <c r="D23" s="19" t="s">
        <v>6</v>
      </c>
      <c r="E23" s="11"/>
      <c r="F23" s="11"/>
      <c r="H23" s="11">
        <f>IFERROR(INDEX(Таблица243[Жребий],MATCH(Список!A23,Таблица243[Подразделение],0)),"")</f>
        <v>7</v>
      </c>
      <c r="I23" s="62">
        <v>29594</v>
      </c>
    </row>
    <row r="24" spans="1:9" x14ac:dyDescent="0.3">
      <c r="A24" s="10" t="s">
        <v>23</v>
      </c>
      <c r="B24" s="10" t="s">
        <v>29</v>
      </c>
      <c r="C24" s="11" t="str">
        <f t="shared" si="0"/>
        <v>М</v>
      </c>
      <c r="D24" s="19"/>
      <c r="E24" s="11" t="s">
        <v>12</v>
      </c>
      <c r="F24" s="11" t="s">
        <v>200</v>
      </c>
      <c r="G24" s="10">
        <v>22</v>
      </c>
      <c r="H24" s="11">
        <f>IFERROR(INDEX(Таблица243[Жребий],MATCH(Список!A24,Таблица243[Подразделение],0)),"")</f>
        <v>7</v>
      </c>
      <c r="I24" s="62">
        <v>31084</v>
      </c>
    </row>
    <row r="25" spans="1:9" x14ac:dyDescent="0.3">
      <c r="A25" s="10" t="s">
        <v>23</v>
      </c>
      <c r="B25" s="10" t="s">
        <v>30</v>
      </c>
      <c r="C25" s="11" t="str">
        <f t="shared" si="0"/>
        <v>М</v>
      </c>
      <c r="D25" s="19"/>
      <c r="E25" s="11" t="s">
        <v>12</v>
      </c>
      <c r="F25" s="11"/>
      <c r="H25" s="11">
        <f>IFERROR(INDEX(Таблица243[Жребий],MATCH(Список!A25,Таблица243[Подразделение],0)),"")</f>
        <v>7</v>
      </c>
      <c r="I25" s="62">
        <v>34439</v>
      </c>
    </row>
    <row r="26" spans="1:9" x14ac:dyDescent="0.3">
      <c r="A26" s="10" t="s">
        <v>23</v>
      </c>
      <c r="B26" s="10" t="s">
        <v>31</v>
      </c>
      <c r="C26" s="11" t="str">
        <f t="shared" si="0"/>
        <v>М</v>
      </c>
      <c r="D26" s="19"/>
      <c r="E26" s="11"/>
      <c r="F26" s="11"/>
      <c r="H26" s="11">
        <f>IFERROR(INDEX(Таблица243[Жребий],MATCH(Список!A26,Таблица243[Подразделение],0)),"")</f>
        <v>7</v>
      </c>
      <c r="I26" s="62">
        <v>30774</v>
      </c>
    </row>
    <row r="27" spans="1:9" x14ac:dyDescent="0.3">
      <c r="A27" s="10" t="s">
        <v>23</v>
      </c>
      <c r="B27" s="10" t="s">
        <v>32</v>
      </c>
      <c r="C27" s="11" t="str">
        <f t="shared" si="0"/>
        <v>Ж</v>
      </c>
      <c r="D27" s="19"/>
      <c r="E27" s="11"/>
      <c r="F27" s="11"/>
      <c r="H27" s="11">
        <f>IFERROR(INDEX(Таблица243[Жребий],MATCH(Список!A27,Таблица243[Подразделение],0)),"")</f>
        <v>7</v>
      </c>
      <c r="I27" s="62">
        <v>25935</v>
      </c>
    </row>
    <row r="28" spans="1:9" x14ac:dyDescent="0.3">
      <c r="A28" s="10" t="s">
        <v>23</v>
      </c>
      <c r="B28" s="10" t="s">
        <v>33</v>
      </c>
      <c r="C28" s="11" t="str">
        <f t="shared" si="0"/>
        <v>М</v>
      </c>
      <c r="D28" s="19"/>
      <c r="E28" s="11"/>
      <c r="F28" s="11"/>
      <c r="H28" s="11">
        <f>IFERROR(INDEX(Таблица243[Жребий],MATCH(Список!A28,Таблица243[Подразделение],0)),"")</f>
        <v>7</v>
      </c>
      <c r="I28" s="62">
        <v>28185</v>
      </c>
    </row>
    <row r="29" spans="1:9" x14ac:dyDescent="0.3">
      <c r="A29" s="10" t="s">
        <v>23</v>
      </c>
      <c r="B29" s="10" t="s">
        <v>34</v>
      </c>
      <c r="C29" s="11" t="str">
        <f t="shared" si="0"/>
        <v>М</v>
      </c>
      <c r="D29" s="19"/>
      <c r="E29" s="11"/>
      <c r="F29" s="11"/>
      <c r="H29" s="11">
        <f>IFERROR(INDEX(Таблица243[Жребий],MATCH(Список!A29,Таблица243[Подразделение],0)),"")</f>
        <v>7</v>
      </c>
      <c r="I29" s="62">
        <v>33245</v>
      </c>
    </row>
    <row r="30" spans="1:9" x14ac:dyDescent="0.3">
      <c r="A30" s="10" t="s">
        <v>23</v>
      </c>
      <c r="B30" s="10" t="s">
        <v>35</v>
      </c>
      <c r="C30" s="11" t="str">
        <f t="shared" si="0"/>
        <v>М</v>
      </c>
      <c r="D30" s="19"/>
      <c r="E30" s="11"/>
      <c r="F30" s="11"/>
      <c r="H30" s="11">
        <f>IFERROR(INDEX(Таблица243[Жребий],MATCH(Список!A30,Таблица243[Подразделение],0)),"")</f>
        <v>7</v>
      </c>
      <c r="I30" s="62">
        <v>28074</v>
      </c>
    </row>
    <row r="31" spans="1:9" x14ac:dyDescent="0.3">
      <c r="A31" s="10" t="s">
        <v>23</v>
      </c>
      <c r="B31" s="10" t="s">
        <v>36</v>
      </c>
      <c r="C31" s="11" t="str">
        <f t="shared" si="0"/>
        <v>М</v>
      </c>
      <c r="D31" s="19"/>
      <c r="E31" s="11"/>
      <c r="F31" s="11"/>
      <c r="H31" s="11">
        <f>IFERROR(INDEX(Таблица243[Жребий],MATCH(Список!A31,Таблица243[Подразделение],0)),"")</f>
        <v>7</v>
      </c>
      <c r="I31" s="62">
        <v>32778</v>
      </c>
    </row>
    <row r="32" spans="1:9" x14ac:dyDescent="0.3">
      <c r="A32" s="10" t="s">
        <v>23</v>
      </c>
      <c r="B32" s="10" t="s">
        <v>37</v>
      </c>
      <c r="C32" s="11" t="str">
        <f t="shared" si="0"/>
        <v>М</v>
      </c>
      <c r="D32" s="19"/>
      <c r="E32" s="11"/>
      <c r="F32" s="11"/>
      <c r="H32" s="11">
        <f>IFERROR(INDEX(Таблица243[Жребий],MATCH(Список!A32,Таблица243[Подразделение],0)),"")</f>
        <v>7</v>
      </c>
      <c r="I32" s="62">
        <v>32403</v>
      </c>
    </row>
    <row r="33" spans="1:9" x14ac:dyDescent="0.3">
      <c r="A33" s="10" t="s">
        <v>23</v>
      </c>
      <c r="B33" s="10" t="s">
        <v>38</v>
      </c>
      <c r="C33" s="11" t="str">
        <f t="shared" si="0"/>
        <v>М</v>
      </c>
      <c r="D33" s="19"/>
      <c r="E33" s="11"/>
      <c r="F33" s="11"/>
      <c r="H33" s="11">
        <f>IFERROR(INDEX(Таблица243[Жребий],MATCH(Список!A33,Таблица243[Подразделение],0)),"")</f>
        <v>7</v>
      </c>
      <c r="I33" s="62">
        <v>29552</v>
      </c>
    </row>
    <row r="34" spans="1:9" x14ac:dyDescent="0.3">
      <c r="A34" s="10" t="s">
        <v>23</v>
      </c>
      <c r="B34" s="10" t="s">
        <v>39</v>
      </c>
      <c r="C34" s="11" t="str">
        <f t="shared" si="0"/>
        <v>М</v>
      </c>
      <c r="D34" s="19"/>
      <c r="E34" s="11"/>
      <c r="F34" s="11"/>
      <c r="H34" s="11">
        <f>IFERROR(INDEX(Таблица243[Жребий],MATCH(Список!A34,Таблица243[Подразделение],0)),"")</f>
        <v>7</v>
      </c>
      <c r="I34" s="62">
        <v>30543</v>
      </c>
    </row>
    <row r="35" spans="1:9" x14ac:dyDescent="0.3">
      <c r="A35" s="10" t="s">
        <v>40</v>
      </c>
      <c r="B35" s="10" t="s">
        <v>41</v>
      </c>
      <c r="C35" s="11" t="str">
        <f t="shared" si="0"/>
        <v>М</v>
      </c>
      <c r="D35" s="19" t="s">
        <v>6</v>
      </c>
      <c r="E35" s="11"/>
      <c r="F35" s="11"/>
      <c r="H35" s="11">
        <f>IFERROR(INDEX(Таблица243[Жребий],MATCH(Список!A35,Таблица243[Подразделение],0)),"")</f>
        <v>14</v>
      </c>
      <c r="I35" s="62" t="s">
        <v>42</v>
      </c>
    </row>
    <row r="36" spans="1:9" x14ac:dyDescent="0.3">
      <c r="A36" s="10" t="s">
        <v>40</v>
      </c>
      <c r="B36" s="10" t="s">
        <v>43</v>
      </c>
      <c r="C36" s="11" t="str">
        <f t="shared" si="0"/>
        <v>М</v>
      </c>
      <c r="D36" s="19" t="s">
        <v>6</v>
      </c>
      <c r="E36" s="11"/>
      <c r="F36" s="11"/>
      <c r="H36" s="11">
        <f>IFERROR(INDEX(Таблица243[Жребий],MATCH(Список!A36,Таблица243[Подразделение],0)),"")</f>
        <v>14</v>
      </c>
      <c r="I36" s="62">
        <v>32610</v>
      </c>
    </row>
    <row r="37" spans="1:9" x14ac:dyDescent="0.3">
      <c r="A37" s="10" t="s">
        <v>40</v>
      </c>
      <c r="B37" s="10" t="s">
        <v>44</v>
      </c>
      <c r="C37" s="11" t="str">
        <f t="shared" si="0"/>
        <v>М</v>
      </c>
      <c r="D37" s="19" t="s">
        <v>6</v>
      </c>
      <c r="E37" s="11"/>
      <c r="F37" s="11"/>
      <c r="H37" s="11">
        <f>IFERROR(INDEX(Таблица243[Жребий],MATCH(Список!A37,Таблица243[Подразделение],0)),"")</f>
        <v>14</v>
      </c>
      <c r="I37" s="62">
        <v>30601</v>
      </c>
    </row>
    <row r="38" spans="1:9" x14ac:dyDescent="0.3">
      <c r="A38" s="10" t="s">
        <v>40</v>
      </c>
      <c r="B38" s="10" t="s">
        <v>45</v>
      </c>
      <c r="C38" s="11" t="str">
        <f t="shared" si="0"/>
        <v>Ж</v>
      </c>
      <c r="D38" s="19" t="s">
        <v>6</v>
      </c>
      <c r="E38" s="11"/>
      <c r="F38" s="11"/>
      <c r="H38" s="11">
        <f>IFERROR(INDEX(Таблица243[Жребий],MATCH(Список!A38,Таблица243[Подразделение],0)),"")</f>
        <v>14</v>
      </c>
      <c r="I38" s="62">
        <v>33555</v>
      </c>
    </row>
    <row r="39" spans="1:9" x14ac:dyDescent="0.3">
      <c r="A39" s="10" t="s">
        <v>40</v>
      </c>
      <c r="B39" s="10" t="s">
        <v>46</v>
      </c>
      <c r="C39" s="11" t="str">
        <f t="shared" si="0"/>
        <v>М</v>
      </c>
      <c r="D39" s="19"/>
      <c r="E39" s="11" t="s">
        <v>12</v>
      </c>
      <c r="F39" s="11"/>
      <c r="H39" s="11">
        <f>IFERROR(INDEX(Таблица243[Жребий],MATCH(Список!A39,Таблица243[Подразделение],0)),"")</f>
        <v>14</v>
      </c>
      <c r="I39" s="62">
        <v>29007</v>
      </c>
    </row>
    <row r="40" spans="1:9" x14ac:dyDescent="0.3">
      <c r="A40" s="10" t="s">
        <v>40</v>
      </c>
      <c r="B40" s="10" t="s">
        <v>47</v>
      </c>
      <c r="C40" s="11" t="str">
        <f t="shared" si="0"/>
        <v>М</v>
      </c>
      <c r="D40" s="19"/>
      <c r="E40" s="11" t="s">
        <v>12</v>
      </c>
      <c r="F40" s="11"/>
      <c r="H40" s="11">
        <f>IFERROR(INDEX(Таблица243[Жребий],MATCH(Список!A40,Таблица243[Подразделение],0)),"")</f>
        <v>14</v>
      </c>
      <c r="I40" s="62">
        <v>33137</v>
      </c>
    </row>
    <row r="41" spans="1:9" x14ac:dyDescent="0.3">
      <c r="A41" s="10" t="s">
        <v>40</v>
      </c>
      <c r="B41" s="10" t="s">
        <v>48</v>
      </c>
      <c r="C41" s="11" t="str">
        <f t="shared" si="0"/>
        <v>М</v>
      </c>
      <c r="D41" s="19"/>
      <c r="E41" s="11" t="s">
        <v>49</v>
      </c>
      <c r="F41" s="11"/>
      <c r="H41" s="11">
        <f>IFERROR(INDEX(Таблица243[Жребий],MATCH(Список!A41,Таблица243[Подразделение],0)),"")</f>
        <v>14</v>
      </c>
      <c r="I41" s="62">
        <v>33342</v>
      </c>
    </row>
    <row r="42" spans="1:9" x14ac:dyDescent="0.3">
      <c r="A42" s="10" t="s">
        <v>40</v>
      </c>
      <c r="B42" s="10" t="s">
        <v>50</v>
      </c>
      <c r="C42" s="11" t="str">
        <f t="shared" si="0"/>
        <v>М</v>
      </c>
      <c r="D42" s="19"/>
      <c r="E42" s="11"/>
      <c r="F42" s="11"/>
      <c r="H42" s="11">
        <f>IFERROR(INDEX(Таблица243[Жребий],MATCH(Список!A42,Таблица243[Подразделение],0)),"")</f>
        <v>14</v>
      </c>
      <c r="I42" s="62">
        <v>31827</v>
      </c>
    </row>
    <row r="43" spans="1:9" x14ac:dyDescent="0.3">
      <c r="A43" s="10" t="s">
        <v>40</v>
      </c>
      <c r="B43" s="10" t="s">
        <v>51</v>
      </c>
      <c r="C43" s="11" t="str">
        <f t="shared" si="0"/>
        <v>М</v>
      </c>
      <c r="D43" s="19"/>
      <c r="E43" s="11"/>
      <c r="F43" s="11"/>
      <c r="H43" s="11">
        <f>IFERROR(INDEX(Таблица243[Жребий],MATCH(Список!A43,Таблица243[Подразделение],0)),"")</f>
        <v>14</v>
      </c>
      <c r="I43" s="62">
        <v>32276</v>
      </c>
    </row>
    <row r="44" spans="1:9" x14ac:dyDescent="0.3">
      <c r="A44" s="10" t="s">
        <v>40</v>
      </c>
      <c r="B44" s="10" t="s">
        <v>52</v>
      </c>
      <c r="C44" s="11" t="str">
        <f t="shared" si="0"/>
        <v>Ж</v>
      </c>
      <c r="D44" s="19"/>
      <c r="E44" s="11" t="s">
        <v>12</v>
      </c>
      <c r="F44" s="11"/>
      <c r="H44" s="11">
        <f>IFERROR(INDEX(Таблица243[Жребий],MATCH(Список!A44,Таблица243[Подразделение],0)),"")</f>
        <v>14</v>
      </c>
      <c r="I44" s="62">
        <v>31377</v>
      </c>
    </row>
    <row r="45" spans="1:9" x14ac:dyDescent="0.3">
      <c r="A45" s="10" t="s">
        <v>40</v>
      </c>
      <c r="B45" s="10" t="s">
        <v>53</v>
      </c>
      <c r="C45" s="11" t="str">
        <f t="shared" si="0"/>
        <v>Ж</v>
      </c>
      <c r="D45" s="19"/>
      <c r="E45" s="11"/>
      <c r="F45" s="11" t="s">
        <v>200</v>
      </c>
      <c r="G45" s="10">
        <v>33</v>
      </c>
      <c r="H45" s="11">
        <f>IFERROR(INDEX(Таблица243[Жребий],MATCH(Список!A45,Таблица243[Подразделение],0)),"")</f>
        <v>14</v>
      </c>
      <c r="I45" s="62">
        <v>25267</v>
      </c>
    </row>
    <row r="46" spans="1:9" x14ac:dyDescent="0.3">
      <c r="A46" s="10" t="s">
        <v>40</v>
      </c>
      <c r="B46" s="10" t="s">
        <v>54</v>
      </c>
      <c r="C46" s="11" t="str">
        <f t="shared" si="0"/>
        <v>М</v>
      </c>
      <c r="D46" s="19"/>
      <c r="E46" s="11"/>
      <c r="F46" s="11"/>
      <c r="H46" s="11">
        <f>IFERROR(INDEX(Таблица243[Жребий],MATCH(Список!A46,Таблица243[Подразделение],0)),"")</f>
        <v>14</v>
      </c>
      <c r="I46" s="62">
        <v>30310</v>
      </c>
    </row>
    <row r="47" spans="1:9" x14ac:dyDescent="0.3">
      <c r="A47" s="10" t="s">
        <v>40</v>
      </c>
      <c r="B47" s="10" t="s">
        <v>55</v>
      </c>
      <c r="C47" s="11" t="str">
        <f t="shared" si="0"/>
        <v>М</v>
      </c>
      <c r="D47" s="19"/>
      <c r="E47" s="11"/>
      <c r="F47" s="11"/>
      <c r="H47" s="11">
        <f>IFERROR(INDEX(Таблица243[Жребий],MATCH(Список!A47,Таблица243[Подразделение],0)),"")</f>
        <v>14</v>
      </c>
      <c r="I47" s="62">
        <v>29222</v>
      </c>
    </row>
    <row r="48" spans="1:9" x14ac:dyDescent="0.3">
      <c r="A48" s="10" t="s">
        <v>40</v>
      </c>
      <c r="B48" s="10" t="s">
        <v>56</v>
      </c>
      <c r="C48" s="11" t="str">
        <f t="shared" si="0"/>
        <v>М</v>
      </c>
      <c r="D48" s="19"/>
      <c r="E48" s="11"/>
      <c r="F48" s="11"/>
      <c r="H48" s="11">
        <f>IFERROR(INDEX(Таблица243[Жребий],MATCH(Список!A48,Таблица243[Подразделение],0)),"")</f>
        <v>14</v>
      </c>
      <c r="I48" s="62">
        <v>27637</v>
      </c>
    </row>
    <row r="49" spans="1:9" x14ac:dyDescent="0.3">
      <c r="A49" s="10" t="s">
        <v>40</v>
      </c>
      <c r="B49" s="10" t="s">
        <v>57</v>
      </c>
      <c r="C49" s="11" t="str">
        <f t="shared" si="0"/>
        <v>Ж</v>
      </c>
      <c r="D49" s="19"/>
      <c r="E49" s="11"/>
      <c r="F49" s="11"/>
      <c r="H49" s="11">
        <f>IFERROR(INDEX(Таблица243[Жребий],MATCH(Список!A49,Таблица243[Подразделение],0)),"")</f>
        <v>14</v>
      </c>
      <c r="I49" s="62">
        <v>31859</v>
      </c>
    </row>
    <row r="50" spans="1:9" x14ac:dyDescent="0.3">
      <c r="A50" s="10" t="s">
        <v>40</v>
      </c>
      <c r="B50" s="10" t="s">
        <v>58</v>
      </c>
      <c r="C50" s="11" t="str">
        <f t="shared" si="0"/>
        <v xml:space="preserve"> </v>
      </c>
      <c r="D50" s="19"/>
      <c r="E50" s="11"/>
      <c r="F50" s="11"/>
      <c r="H50" s="11">
        <f>IFERROR(INDEX(Таблица243[Жребий],MATCH(Список!A50,Таблица243[Подразделение],0)),"")</f>
        <v>14</v>
      </c>
      <c r="I50" s="62">
        <v>27955</v>
      </c>
    </row>
    <row r="51" spans="1:9" x14ac:dyDescent="0.3">
      <c r="A51" s="10" t="s">
        <v>59</v>
      </c>
      <c r="B51" s="10" t="s">
        <v>60</v>
      </c>
      <c r="C51" s="11" t="str">
        <f t="shared" si="0"/>
        <v>М</v>
      </c>
      <c r="D51" s="19" t="s">
        <v>6</v>
      </c>
      <c r="E51" s="11"/>
      <c r="F51" s="11"/>
      <c r="H51" s="11">
        <f>IFERROR(INDEX(Таблица243[Жребий],MATCH(Список!A51,Таблица243[Подразделение],0)),"")</f>
        <v>2</v>
      </c>
      <c r="I51" s="62">
        <v>32163</v>
      </c>
    </row>
    <row r="52" spans="1:9" x14ac:dyDescent="0.3">
      <c r="A52" s="10" t="s">
        <v>59</v>
      </c>
      <c r="B52" s="10" t="s">
        <v>61</v>
      </c>
      <c r="C52" s="11" t="str">
        <f t="shared" si="0"/>
        <v>М</v>
      </c>
      <c r="D52" s="19"/>
      <c r="E52" s="11" t="s">
        <v>12</v>
      </c>
      <c r="F52" s="11"/>
      <c r="H52" s="11">
        <f>IFERROR(INDEX(Таблица243[Жребий],MATCH(Список!A52,Таблица243[Подразделение],0)),"")</f>
        <v>2</v>
      </c>
      <c r="I52" s="62">
        <v>29634</v>
      </c>
    </row>
    <row r="53" spans="1:9" x14ac:dyDescent="0.3">
      <c r="A53" s="10" t="s">
        <v>59</v>
      </c>
      <c r="B53" s="10" t="s">
        <v>62</v>
      </c>
      <c r="C53" s="11" t="str">
        <f t="shared" si="0"/>
        <v>Ж</v>
      </c>
      <c r="D53" s="19" t="s">
        <v>6</v>
      </c>
      <c r="E53" s="11"/>
      <c r="F53" s="11"/>
      <c r="H53" s="11">
        <f>IFERROR(INDEX(Таблица243[Жребий],MATCH(Список!A53,Таблица243[Подразделение],0)),"")</f>
        <v>2</v>
      </c>
      <c r="I53" s="62">
        <v>31555</v>
      </c>
    </row>
    <row r="54" spans="1:9" x14ac:dyDescent="0.3">
      <c r="A54" s="10" t="s">
        <v>59</v>
      </c>
      <c r="B54" s="10" t="s">
        <v>63</v>
      </c>
      <c r="C54" s="11" t="str">
        <f t="shared" si="0"/>
        <v>М</v>
      </c>
      <c r="D54" s="19" t="s">
        <v>6</v>
      </c>
      <c r="E54" s="11" t="s">
        <v>12</v>
      </c>
      <c r="F54" s="11"/>
      <c r="H54" s="11">
        <f>IFERROR(INDEX(Таблица243[Жребий],MATCH(Список!A54,Таблица243[Подразделение],0)),"")</f>
        <v>2</v>
      </c>
      <c r="I54" s="62">
        <v>33721</v>
      </c>
    </row>
    <row r="55" spans="1:9" x14ac:dyDescent="0.3">
      <c r="A55" s="10" t="s">
        <v>59</v>
      </c>
      <c r="B55" s="10" t="s">
        <v>64</v>
      </c>
      <c r="C55" s="11" t="str">
        <f t="shared" si="0"/>
        <v>М</v>
      </c>
      <c r="D55" s="19"/>
      <c r="E55" s="11" t="s">
        <v>12</v>
      </c>
      <c r="F55" s="11"/>
      <c r="H55" s="11">
        <f>IFERROR(INDEX(Таблица243[Жребий],MATCH(Список!A55,Таблица243[Подразделение],0)),"")</f>
        <v>2</v>
      </c>
      <c r="I55" s="62">
        <v>22682</v>
      </c>
    </row>
    <row r="56" spans="1:9" x14ac:dyDescent="0.3">
      <c r="A56" s="10" t="s">
        <v>59</v>
      </c>
      <c r="B56" s="10" t="s">
        <v>205</v>
      </c>
      <c r="C56" s="11" t="str">
        <f t="shared" si="0"/>
        <v>Ж</v>
      </c>
      <c r="D56" s="19"/>
      <c r="E56" s="11" t="s">
        <v>12</v>
      </c>
      <c r="F56" s="11"/>
      <c r="H56" s="11">
        <f>IFERROR(INDEX(Таблица243[Жребий],MATCH(Список!A56,Таблица243[Подразделение],0)),"")</f>
        <v>2</v>
      </c>
      <c r="I56" s="62">
        <v>32917</v>
      </c>
    </row>
    <row r="57" spans="1:9" x14ac:dyDescent="0.3">
      <c r="A57" s="10" t="s">
        <v>59</v>
      </c>
      <c r="B57" s="10" t="s">
        <v>65</v>
      </c>
      <c r="C57" s="11" t="str">
        <f t="shared" si="0"/>
        <v>Ж</v>
      </c>
      <c r="D57" s="19"/>
      <c r="E57" s="11"/>
      <c r="F57" s="11"/>
      <c r="H57" s="11">
        <f>IFERROR(INDEX(Таблица243[Жребий],MATCH(Список!A57,Таблица243[Подразделение],0)),"")</f>
        <v>2</v>
      </c>
      <c r="I57" s="62">
        <v>30067</v>
      </c>
    </row>
    <row r="58" spans="1:9" x14ac:dyDescent="0.3">
      <c r="A58" s="10" t="s">
        <v>59</v>
      </c>
      <c r="B58" s="10" t="s">
        <v>66</v>
      </c>
      <c r="C58" s="11" t="str">
        <f t="shared" si="0"/>
        <v>М</v>
      </c>
      <c r="D58" s="19" t="s">
        <v>6</v>
      </c>
      <c r="E58" s="11"/>
      <c r="F58" s="11"/>
      <c r="H58" s="11">
        <f>IFERROR(INDEX(Таблица243[Жребий],MATCH(Список!A58,Таблица243[Подразделение],0)),"")</f>
        <v>2</v>
      </c>
      <c r="I58" s="62">
        <v>31540</v>
      </c>
    </row>
    <row r="59" spans="1:9" x14ac:dyDescent="0.3">
      <c r="A59" s="10" t="s">
        <v>59</v>
      </c>
      <c r="B59" s="10" t="s">
        <v>67</v>
      </c>
      <c r="C59" s="11" t="str">
        <f t="shared" si="0"/>
        <v>М</v>
      </c>
      <c r="D59" s="19"/>
      <c r="E59" s="11"/>
      <c r="F59" s="11"/>
      <c r="H59" s="11">
        <f>IFERROR(INDEX(Таблица243[Жребий],MATCH(Список!A59,Таблица243[Подразделение],0)),"")</f>
        <v>2</v>
      </c>
      <c r="I59" s="62">
        <v>31783</v>
      </c>
    </row>
    <row r="60" spans="1:9" x14ac:dyDescent="0.3">
      <c r="A60" s="10" t="s">
        <v>59</v>
      </c>
      <c r="B60" s="10" t="s">
        <v>68</v>
      </c>
      <c r="C60" s="11" t="str">
        <f t="shared" si="0"/>
        <v>М</v>
      </c>
      <c r="D60" s="19"/>
      <c r="E60" s="11"/>
      <c r="F60" s="11"/>
      <c r="H60" s="11">
        <f>IFERROR(INDEX(Таблица243[Жребий],MATCH(Список!A60,Таблица243[Подразделение],0)),"")</f>
        <v>2</v>
      </c>
      <c r="I60" s="62">
        <v>31068</v>
      </c>
    </row>
    <row r="61" spans="1:9" x14ac:dyDescent="0.3">
      <c r="A61" s="10" t="s">
        <v>59</v>
      </c>
      <c r="B61" s="10" t="s">
        <v>69</v>
      </c>
      <c r="C61" s="11" t="str">
        <f t="shared" si="0"/>
        <v>Ж</v>
      </c>
      <c r="D61" s="19"/>
      <c r="E61" s="11"/>
      <c r="F61" s="11"/>
      <c r="H61" s="11">
        <f>IFERROR(INDEX(Таблица243[Жребий],MATCH(Список!A61,Таблица243[Подразделение],0)),"")</f>
        <v>2</v>
      </c>
      <c r="I61" s="62">
        <v>28425</v>
      </c>
    </row>
    <row r="62" spans="1:9" x14ac:dyDescent="0.3">
      <c r="A62" s="10" t="s">
        <v>59</v>
      </c>
      <c r="B62" s="10" t="s">
        <v>70</v>
      </c>
      <c r="C62" s="11" t="str">
        <f t="shared" si="0"/>
        <v>Ж</v>
      </c>
      <c r="D62" s="19"/>
      <c r="E62" s="11"/>
      <c r="F62" s="11" t="s">
        <v>200</v>
      </c>
      <c r="G62" s="10">
        <v>44</v>
      </c>
      <c r="H62" s="11">
        <f>IFERROR(INDEX(Таблица243[Жребий],MATCH(Список!A62,Таблица243[Подразделение],0)),"")</f>
        <v>2</v>
      </c>
      <c r="I62" s="62">
        <v>20639</v>
      </c>
    </row>
    <row r="63" spans="1:9" x14ac:dyDescent="0.3">
      <c r="A63" s="10" t="s">
        <v>59</v>
      </c>
      <c r="B63" s="10" t="s">
        <v>71</v>
      </c>
      <c r="C63" s="11" t="str">
        <f t="shared" si="0"/>
        <v>М</v>
      </c>
      <c r="D63" s="19"/>
      <c r="E63" s="11"/>
      <c r="F63" s="11"/>
      <c r="H63" s="11">
        <f>IFERROR(INDEX(Таблица243[Жребий],MATCH(Список!A63,Таблица243[Подразделение],0)),"")</f>
        <v>2</v>
      </c>
      <c r="I63" s="62">
        <v>21118</v>
      </c>
    </row>
    <row r="64" spans="1:9" x14ac:dyDescent="0.3">
      <c r="A64" s="10" t="s">
        <v>59</v>
      </c>
      <c r="B64" s="10" t="s">
        <v>72</v>
      </c>
      <c r="C64" s="11" t="str">
        <f t="shared" si="0"/>
        <v>Ж</v>
      </c>
      <c r="D64" s="19"/>
      <c r="E64" s="11"/>
      <c r="F64" s="11"/>
      <c r="H64" s="11">
        <f>IFERROR(INDEX(Таблица243[Жребий],MATCH(Список!A64,Таблица243[Подразделение],0)),"")</f>
        <v>2</v>
      </c>
      <c r="I64" s="62">
        <v>29366</v>
      </c>
    </row>
    <row r="65" spans="1:9" x14ac:dyDescent="0.3">
      <c r="A65" s="10" t="s">
        <v>59</v>
      </c>
      <c r="B65" s="10" t="s">
        <v>73</v>
      </c>
      <c r="C65" s="11" t="str">
        <f t="shared" si="0"/>
        <v>М</v>
      </c>
      <c r="D65" s="19"/>
      <c r="E65" s="11"/>
      <c r="F65" s="11"/>
      <c r="H65" s="11">
        <f>IFERROR(INDEX(Таблица243[Жребий],MATCH(Список!A65,Таблица243[Подразделение],0)),"")</f>
        <v>2</v>
      </c>
      <c r="I65" s="62">
        <v>30550</v>
      </c>
    </row>
    <row r="66" spans="1:9" x14ac:dyDescent="0.3">
      <c r="A66" s="10" t="s">
        <v>74</v>
      </c>
      <c r="B66" s="10" t="s">
        <v>75</v>
      </c>
      <c r="C66" s="11" t="str">
        <f t="shared" si="0"/>
        <v>Ж</v>
      </c>
      <c r="D66" s="19"/>
      <c r="E66" s="11" t="s">
        <v>12</v>
      </c>
      <c r="F66" s="11"/>
      <c r="H66" s="11">
        <f>IFERROR(INDEX(Таблица243[Жребий],MATCH(Список!A66,Таблица243[Подразделение],0)),"")</f>
        <v>13</v>
      </c>
      <c r="I66" s="62">
        <v>30155</v>
      </c>
    </row>
    <row r="67" spans="1:9" x14ac:dyDescent="0.3">
      <c r="A67" s="10" t="s">
        <v>74</v>
      </c>
      <c r="B67" s="10" t="s">
        <v>76</v>
      </c>
      <c r="C67" s="11" t="str">
        <f t="shared" ref="C67:C130" si="1">IF(RIGHT(B67)="ч","М",IF(RIGHT(B67)="а","Ж",IF(RIGHT(B67)=".","---"," ")))</f>
        <v>Ж</v>
      </c>
      <c r="D67" s="19"/>
      <c r="E67" s="11" t="s">
        <v>12</v>
      </c>
      <c r="F67" s="11"/>
      <c r="H67" s="11">
        <f>IFERROR(INDEX(Таблица243[Жребий],MATCH(Список!A67,Таблица243[Подразделение],0)),"")</f>
        <v>13</v>
      </c>
      <c r="I67" s="62">
        <v>30035</v>
      </c>
    </row>
    <row r="68" spans="1:9" x14ac:dyDescent="0.3">
      <c r="A68" s="10" t="s">
        <v>74</v>
      </c>
      <c r="B68" s="10" t="s">
        <v>77</v>
      </c>
      <c r="C68" s="11" t="str">
        <f t="shared" si="1"/>
        <v>М</v>
      </c>
      <c r="D68" s="19"/>
      <c r="E68" s="11" t="s">
        <v>12</v>
      </c>
      <c r="F68" s="11"/>
      <c r="H68" s="11">
        <f>IFERROR(INDEX(Таблица243[Жребий],MATCH(Список!A68,Таблица243[Подразделение],0)),"")</f>
        <v>13</v>
      </c>
      <c r="I68" s="62">
        <v>29846</v>
      </c>
    </row>
    <row r="69" spans="1:9" x14ac:dyDescent="0.3">
      <c r="A69" s="10" t="s">
        <v>74</v>
      </c>
      <c r="B69" s="10" t="s">
        <v>78</v>
      </c>
      <c r="C69" s="11" t="str">
        <f t="shared" si="1"/>
        <v>Ж</v>
      </c>
      <c r="D69" s="19" t="s">
        <v>6</v>
      </c>
      <c r="E69" s="11"/>
      <c r="F69" s="11"/>
      <c r="H69" s="11">
        <f>IFERROR(INDEX(Таблица243[Жребий],MATCH(Список!A69,Таблица243[Подразделение],0)),"")</f>
        <v>13</v>
      </c>
      <c r="I69" s="62">
        <v>29063</v>
      </c>
    </row>
    <row r="70" spans="1:9" x14ac:dyDescent="0.3">
      <c r="A70" s="10" t="s">
        <v>74</v>
      </c>
      <c r="B70" s="10" t="s">
        <v>79</v>
      </c>
      <c r="C70" s="11" t="str">
        <f t="shared" si="1"/>
        <v>М</v>
      </c>
      <c r="D70" s="19" t="s">
        <v>6</v>
      </c>
      <c r="E70" s="11"/>
      <c r="F70" s="11"/>
      <c r="H70" s="11">
        <f>IFERROR(INDEX(Таблица243[Жребий],MATCH(Список!A70,Таблица243[Подразделение],0)),"")</f>
        <v>13</v>
      </c>
      <c r="I70" s="62">
        <v>33267</v>
      </c>
    </row>
    <row r="71" spans="1:9" x14ac:dyDescent="0.3">
      <c r="A71" s="10" t="s">
        <v>74</v>
      </c>
      <c r="B71" s="10" t="s">
        <v>80</v>
      </c>
      <c r="C71" s="11" t="str">
        <f t="shared" si="1"/>
        <v>М</v>
      </c>
      <c r="D71" s="19" t="s">
        <v>6</v>
      </c>
      <c r="E71" s="11"/>
      <c r="F71" s="11"/>
      <c r="H71" s="11">
        <f>IFERROR(INDEX(Таблица243[Жребий],MATCH(Список!A71,Таблица243[Подразделение],0)),"")</f>
        <v>13</v>
      </c>
      <c r="I71" s="62">
        <v>32925</v>
      </c>
    </row>
    <row r="72" spans="1:9" x14ac:dyDescent="0.3">
      <c r="A72" s="10" t="s">
        <v>74</v>
      </c>
      <c r="B72" s="10" t="s">
        <v>81</v>
      </c>
      <c r="C72" s="11" t="str">
        <f t="shared" si="1"/>
        <v>М</v>
      </c>
      <c r="D72" s="19" t="s">
        <v>6</v>
      </c>
      <c r="E72" s="11"/>
      <c r="F72" s="11"/>
      <c r="H72" s="11">
        <f>IFERROR(INDEX(Таблица243[Жребий],MATCH(Список!A72,Таблица243[Подразделение],0)),"")</f>
        <v>13</v>
      </c>
      <c r="I72" s="62">
        <v>26640</v>
      </c>
    </row>
    <row r="73" spans="1:9" x14ac:dyDescent="0.3">
      <c r="A73" s="10" t="s">
        <v>74</v>
      </c>
      <c r="B73" s="10" t="s">
        <v>82</v>
      </c>
      <c r="C73" s="11" t="str">
        <f t="shared" si="1"/>
        <v>Ж</v>
      </c>
      <c r="D73" s="19"/>
      <c r="E73" s="11"/>
      <c r="F73" s="11"/>
      <c r="H73" s="11">
        <f>IFERROR(INDEX(Таблица243[Жребий],MATCH(Список!A73,Таблица243[Подразделение],0)),"")</f>
        <v>13</v>
      </c>
      <c r="I73" s="62">
        <v>33131</v>
      </c>
    </row>
    <row r="74" spans="1:9" x14ac:dyDescent="0.3">
      <c r="A74" s="10" t="s">
        <v>74</v>
      </c>
      <c r="B74" s="10" t="s">
        <v>83</v>
      </c>
      <c r="C74" s="11" t="str">
        <f t="shared" si="1"/>
        <v>М</v>
      </c>
      <c r="D74" s="19"/>
      <c r="E74" s="11"/>
      <c r="F74" s="11"/>
      <c r="H74" s="11">
        <f>IFERROR(INDEX(Таблица243[Жребий],MATCH(Список!A74,Таблица243[Подразделение],0)),"")</f>
        <v>13</v>
      </c>
      <c r="I74" s="62">
        <v>31552</v>
      </c>
    </row>
    <row r="75" spans="1:9" x14ac:dyDescent="0.3">
      <c r="A75" s="10" t="s">
        <v>74</v>
      </c>
      <c r="B75" s="10" t="s">
        <v>84</v>
      </c>
      <c r="C75" s="11" t="str">
        <f t="shared" si="1"/>
        <v>М</v>
      </c>
      <c r="D75" s="19"/>
      <c r="E75" s="11" t="s">
        <v>12</v>
      </c>
      <c r="F75" s="11" t="s">
        <v>200</v>
      </c>
      <c r="G75" s="10">
        <v>55</v>
      </c>
      <c r="H75" s="11">
        <f>IFERROR(INDEX(Таблица243[Жребий],MATCH(Список!A75,Таблица243[Подразделение],0)),"")</f>
        <v>13</v>
      </c>
      <c r="I75" s="62">
        <v>30919</v>
      </c>
    </row>
    <row r="76" spans="1:9" x14ac:dyDescent="0.3">
      <c r="A76" s="10" t="s">
        <v>74</v>
      </c>
      <c r="B76" s="10" t="s">
        <v>85</v>
      </c>
      <c r="C76" s="11" t="str">
        <f t="shared" si="1"/>
        <v>М</v>
      </c>
      <c r="D76" s="19"/>
      <c r="E76" s="11"/>
      <c r="F76" s="11"/>
      <c r="H76" s="11">
        <f>IFERROR(INDEX(Таблица243[Жребий],MATCH(Список!A76,Таблица243[Подразделение],0)),"")</f>
        <v>13</v>
      </c>
      <c r="I76" s="62">
        <v>32040</v>
      </c>
    </row>
    <row r="77" spans="1:9" x14ac:dyDescent="0.3">
      <c r="A77" s="10" t="s">
        <v>74</v>
      </c>
      <c r="B77" s="10" t="s">
        <v>86</v>
      </c>
      <c r="C77" s="11" t="str">
        <f t="shared" si="1"/>
        <v>М</v>
      </c>
      <c r="D77" s="19"/>
      <c r="E77" s="11"/>
      <c r="F77" s="11"/>
      <c r="H77" s="11">
        <f>IFERROR(INDEX(Таблица243[Жребий],MATCH(Список!A77,Таблица243[Подразделение],0)),"")</f>
        <v>13</v>
      </c>
      <c r="I77" s="62">
        <v>21733</v>
      </c>
    </row>
    <row r="78" spans="1:9" x14ac:dyDescent="0.3">
      <c r="A78" s="10" t="s">
        <v>74</v>
      </c>
      <c r="B78" s="10" t="s">
        <v>87</v>
      </c>
      <c r="C78" s="11" t="str">
        <f t="shared" si="1"/>
        <v>М</v>
      </c>
      <c r="D78" s="19"/>
      <c r="E78" s="11"/>
      <c r="F78" s="11"/>
      <c r="H78" s="11">
        <f>IFERROR(INDEX(Таблица243[Жребий],MATCH(Список!A78,Таблица243[Подразделение],0)),"")</f>
        <v>13</v>
      </c>
      <c r="I78" s="62">
        <v>25857</v>
      </c>
    </row>
    <row r="79" spans="1:9" x14ac:dyDescent="0.3">
      <c r="A79" s="10" t="s">
        <v>88</v>
      </c>
      <c r="B79" s="10" t="s">
        <v>89</v>
      </c>
      <c r="C79" s="11" t="str">
        <f t="shared" si="1"/>
        <v>М</v>
      </c>
      <c r="D79" s="19" t="s">
        <v>6</v>
      </c>
      <c r="E79" s="11"/>
      <c r="F79" s="11"/>
      <c r="H79" s="11">
        <f>IFERROR(INDEX(Таблица243[Жребий],MATCH(Список!A79,Таблица243[Подразделение],0)),"")</f>
        <v>12</v>
      </c>
      <c r="I79" s="62">
        <v>34087</v>
      </c>
    </row>
    <row r="80" spans="1:9" x14ac:dyDescent="0.3">
      <c r="A80" s="10" t="s">
        <v>88</v>
      </c>
      <c r="B80" s="10" t="s">
        <v>90</v>
      </c>
      <c r="C80" s="11" t="str">
        <f t="shared" si="1"/>
        <v>М</v>
      </c>
      <c r="D80" s="19" t="s">
        <v>6</v>
      </c>
      <c r="E80" s="11"/>
      <c r="F80" s="11"/>
      <c r="H80" s="11">
        <f>IFERROR(INDEX(Таблица243[Жребий],MATCH(Список!A80,Таблица243[Подразделение],0)),"")</f>
        <v>12</v>
      </c>
      <c r="I80" s="62">
        <v>32646</v>
      </c>
    </row>
    <row r="81" spans="1:9" x14ac:dyDescent="0.3">
      <c r="A81" s="10" t="s">
        <v>88</v>
      </c>
      <c r="B81" s="10" t="s">
        <v>91</v>
      </c>
      <c r="C81" s="11" t="str">
        <f t="shared" si="1"/>
        <v>Ж</v>
      </c>
      <c r="D81" s="19" t="s">
        <v>6</v>
      </c>
      <c r="E81" s="11"/>
      <c r="F81" s="11"/>
      <c r="H81" s="11">
        <f>IFERROR(INDEX(Таблица243[Жребий],MATCH(Список!A81,Таблица243[Подразделение],0)),"")</f>
        <v>12</v>
      </c>
      <c r="I81" s="62">
        <v>32819</v>
      </c>
    </row>
    <row r="82" spans="1:9" x14ac:dyDescent="0.3">
      <c r="A82" s="10" t="s">
        <v>88</v>
      </c>
      <c r="B82" s="10" t="s">
        <v>92</v>
      </c>
      <c r="C82" s="11" t="str">
        <f t="shared" si="1"/>
        <v>М</v>
      </c>
      <c r="D82" s="19" t="s">
        <v>6</v>
      </c>
      <c r="E82" s="11"/>
      <c r="F82" s="11"/>
      <c r="H82" s="11">
        <f>IFERROR(INDEX(Таблица243[Жребий],MATCH(Список!A82,Таблица243[Подразделение],0)),"")</f>
        <v>12</v>
      </c>
      <c r="I82" s="62">
        <v>31569</v>
      </c>
    </row>
    <row r="83" spans="1:9" x14ac:dyDescent="0.3">
      <c r="A83" s="10" t="s">
        <v>88</v>
      </c>
      <c r="B83" s="10" t="s">
        <v>93</v>
      </c>
      <c r="C83" s="11" t="str">
        <f t="shared" si="1"/>
        <v>М</v>
      </c>
      <c r="D83" s="19"/>
      <c r="E83" s="11" t="s">
        <v>12</v>
      </c>
      <c r="F83" s="11" t="s">
        <v>200</v>
      </c>
      <c r="G83" s="10">
        <v>66</v>
      </c>
      <c r="H83" s="11">
        <f>IFERROR(INDEX(Таблица243[Жребий],MATCH(Список!A83,Таблица243[Подразделение],0)),"")</f>
        <v>12</v>
      </c>
      <c r="I83" s="62">
        <v>33117</v>
      </c>
    </row>
    <row r="84" spans="1:9" x14ac:dyDescent="0.3">
      <c r="A84" s="10" t="s">
        <v>88</v>
      </c>
      <c r="B84" s="10" t="s">
        <v>94</v>
      </c>
      <c r="C84" s="11" t="str">
        <f t="shared" si="1"/>
        <v>Ж</v>
      </c>
      <c r="D84" s="19"/>
      <c r="E84" s="11"/>
      <c r="F84" s="11"/>
      <c r="H84" s="11">
        <f>IFERROR(INDEX(Таблица243[Жребий],MATCH(Список!A84,Таблица243[Подразделение],0)),"")</f>
        <v>12</v>
      </c>
      <c r="I84" s="62">
        <v>29178</v>
      </c>
    </row>
    <row r="85" spans="1:9" x14ac:dyDescent="0.3">
      <c r="A85" s="10" t="s">
        <v>88</v>
      </c>
      <c r="B85" s="10" t="s">
        <v>95</v>
      </c>
      <c r="C85" s="11" t="str">
        <f t="shared" si="1"/>
        <v>Ж</v>
      </c>
      <c r="D85" s="19"/>
      <c r="E85" s="11"/>
      <c r="F85" s="11"/>
      <c r="H85" s="11">
        <f>IFERROR(INDEX(Таблица243[Жребий],MATCH(Список!A85,Таблица243[Подразделение],0)),"")</f>
        <v>12</v>
      </c>
      <c r="I85" s="62">
        <v>26713</v>
      </c>
    </row>
    <row r="86" spans="1:9" x14ac:dyDescent="0.3">
      <c r="A86" s="10" t="s">
        <v>88</v>
      </c>
      <c r="B86" s="10" t="s">
        <v>96</v>
      </c>
      <c r="C86" s="11" t="str">
        <f t="shared" si="1"/>
        <v>М</v>
      </c>
      <c r="D86" s="19"/>
      <c r="E86" s="11" t="s">
        <v>12</v>
      </c>
      <c r="F86" s="11"/>
      <c r="H86" s="11">
        <f>IFERROR(INDEX(Таблица243[Жребий],MATCH(Список!A86,Таблица243[Подразделение],0)),"")</f>
        <v>12</v>
      </c>
      <c r="I86" s="62">
        <v>32400</v>
      </c>
    </row>
    <row r="87" spans="1:9" x14ac:dyDescent="0.3">
      <c r="A87" s="10" t="s">
        <v>88</v>
      </c>
      <c r="B87" s="10" t="s">
        <v>97</v>
      </c>
      <c r="C87" s="11" t="str">
        <f t="shared" si="1"/>
        <v>М</v>
      </c>
      <c r="D87" s="19"/>
      <c r="E87" s="11" t="s">
        <v>12</v>
      </c>
      <c r="F87" s="11"/>
      <c r="H87" s="11">
        <f>IFERROR(INDEX(Таблица243[Жребий],MATCH(Список!A87,Таблица243[Подразделение],0)),"")</f>
        <v>12</v>
      </c>
      <c r="I87" s="62">
        <v>31393</v>
      </c>
    </row>
    <row r="88" spans="1:9" x14ac:dyDescent="0.3">
      <c r="A88" s="10" t="s">
        <v>88</v>
      </c>
      <c r="B88" s="10" t="s">
        <v>98</v>
      </c>
      <c r="C88" s="11" t="str">
        <f t="shared" si="1"/>
        <v>М</v>
      </c>
      <c r="D88" s="19"/>
      <c r="E88" s="11" t="s">
        <v>12</v>
      </c>
      <c r="F88" s="11"/>
      <c r="H88" s="11">
        <f>IFERROR(INDEX(Таблица243[Жребий],MATCH(Список!A88,Таблица243[Подразделение],0)),"")</f>
        <v>12</v>
      </c>
      <c r="I88" s="62">
        <v>26299</v>
      </c>
    </row>
    <row r="89" spans="1:9" x14ac:dyDescent="0.3">
      <c r="A89" s="10" t="s">
        <v>88</v>
      </c>
      <c r="B89" s="10" t="s">
        <v>99</v>
      </c>
      <c r="C89" s="11" t="str">
        <f t="shared" si="1"/>
        <v>М</v>
      </c>
      <c r="D89" s="19"/>
      <c r="E89" s="11"/>
      <c r="F89" s="11"/>
      <c r="H89" s="11">
        <f>IFERROR(INDEX(Таблица243[Жребий],MATCH(Список!A89,Таблица243[Подразделение],0)),"")</f>
        <v>12</v>
      </c>
      <c r="I89" s="62">
        <v>30092</v>
      </c>
    </row>
    <row r="90" spans="1:9" x14ac:dyDescent="0.3">
      <c r="A90" s="10" t="s">
        <v>88</v>
      </c>
      <c r="B90" s="10" t="s">
        <v>100</v>
      </c>
      <c r="C90" s="11" t="str">
        <f t="shared" si="1"/>
        <v>Ж</v>
      </c>
      <c r="D90" s="19"/>
      <c r="E90" s="11"/>
      <c r="F90" s="11"/>
      <c r="H90" s="11">
        <f>IFERROR(INDEX(Таблица243[Жребий],MATCH(Список!A90,Таблица243[Подразделение],0)),"")</f>
        <v>12</v>
      </c>
      <c r="I90" s="62">
        <v>29943</v>
      </c>
    </row>
    <row r="91" spans="1:9" x14ac:dyDescent="0.3">
      <c r="A91" s="10" t="s">
        <v>88</v>
      </c>
      <c r="B91" s="10" t="s">
        <v>101</v>
      </c>
      <c r="C91" s="11" t="str">
        <f t="shared" si="1"/>
        <v>Ж</v>
      </c>
      <c r="D91" s="19"/>
      <c r="E91" s="11"/>
      <c r="F91" s="11"/>
      <c r="H91" s="11">
        <f>IFERROR(INDEX(Таблица243[Жребий],MATCH(Список!A91,Таблица243[Подразделение],0)),"")</f>
        <v>12</v>
      </c>
      <c r="I91" s="62">
        <v>21957</v>
      </c>
    </row>
    <row r="92" spans="1:9" x14ac:dyDescent="0.3">
      <c r="A92" s="10" t="s">
        <v>88</v>
      </c>
      <c r="B92" s="10" t="s">
        <v>102</v>
      </c>
      <c r="C92" s="11" t="str">
        <f t="shared" si="1"/>
        <v>Ж</v>
      </c>
      <c r="D92" s="19"/>
      <c r="E92" s="11"/>
      <c r="F92" s="11"/>
      <c r="H92" s="11">
        <f>IFERROR(INDEX(Таблица243[Жребий],MATCH(Список!A92,Таблица243[Подразделение],0)),"")</f>
        <v>12</v>
      </c>
      <c r="I92" s="62">
        <v>21370</v>
      </c>
    </row>
    <row r="93" spans="1:9" x14ac:dyDescent="0.3">
      <c r="A93" s="10" t="s">
        <v>103</v>
      </c>
      <c r="B93" s="10" t="s">
        <v>104</v>
      </c>
      <c r="C93" s="11" t="str">
        <f t="shared" si="1"/>
        <v>М</v>
      </c>
      <c r="D93" s="19" t="s">
        <v>6</v>
      </c>
      <c r="E93" s="11"/>
      <c r="F93" s="11"/>
      <c r="H93" s="11">
        <f>IFERROR(INDEX(Таблица243[Жребий],MATCH(Список!A93,Таблица243[Подразделение],0)),"")</f>
        <v>3</v>
      </c>
      <c r="I93" s="62">
        <v>29271</v>
      </c>
    </row>
    <row r="94" spans="1:9" x14ac:dyDescent="0.3">
      <c r="A94" s="10" t="s">
        <v>103</v>
      </c>
      <c r="B94" s="10" t="s">
        <v>105</v>
      </c>
      <c r="C94" s="11" t="str">
        <f t="shared" si="1"/>
        <v>М</v>
      </c>
      <c r="D94" s="19" t="s">
        <v>6</v>
      </c>
      <c r="E94" s="11"/>
      <c r="F94" s="11"/>
      <c r="H94" s="11">
        <f>IFERROR(INDEX(Таблица243[Жребий],MATCH(Список!A94,Таблица243[Подразделение],0)),"")</f>
        <v>3</v>
      </c>
      <c r="I94" s="62">
        <v>30856</v>
      </c>
    </row>
    <row r="95" spans="1:9" x14ac:dyDescent="0.3">
      <c r="A95" s="10" t="s">
        <v>103</v>
      </c>
      <c r="B95" s="10" t="s">
        <v>106</v>
      </c>
      <c r="C95" s="11" t="str">
        <f t="shared" si="1"/>
        <v>М</v>
      </c>
      <c r="D95" s="19" t="s">
        <v>6</v>
      </c>
      <c r="E95" s="11"/>
      <c r="F95" s="11"/>
      <c r="H95" s="11">
        <f>IFERROR(INDEX(Таблица243[Жребий],MATCH(Список!A95,Таблица243[Подразделение],0)),"")</f>
        <v>3</v>
      </c>
      <c r="I95" s="62">
        <v>32082</v>
      </c>
    </row>
    <row r="96" spans="1:9" x14ac:dyDescent="0.3">
      <c r="A96" s="10" t="s">
        <v>103</v>
      </c>
      <c r="B96" s="10" t="s">
        <v>107</v>
      </c>
      <c r="C96" s="11" t="str">
        <f t="shared" si="1"/>
        <v>Ж</v>
      </c>
      <c r="D96" s="19" t="s">
        <v>6</v>
      </c>
      <c r="E96" s="11"/>
      <c r="F96" s="11"/>
      <c r="H96" s="11">
        <f>IFERROR(INDEX(Таблица243[Жребий],MATCH(Список!A96,Таблица243[Подразделение],0)),"")</f>
        <v>3</v>
      </c>
      <c r="I96" s="62">
        <v>32542</v>
      </c>
    </row>
    <row r="97" spans="1:9" x14ac:dyDescent="0.3">
      <c r="A97" s="10" t="s">
        <v>103</v>
      </c>
      <c r="B97" s="10" t="s">
        <v>108</v>
      </c>
      <c r="C97" s="11" t="str">
        <f t="shared" si="1"/>
        <v>М</v>
      </c>
      <c r="D97" s="19"/>
      <c r="E97" s="11" t="s">
        <v>12</v>
      </c>
      <c r="F97" s="11"/>
      <c r="H97" s="11">
        <f>IFERROR(INDEX(Таблица243[Жребий],MATCH(Список!A97,Таблица243[Подразделение],0)),"")</f>
        <v>3</v>
      </c>
      <c r="I97" s="62">
        <v>30881</v>
      </c>
    </row>
    <row r="98" spans="1:9" x14ac:dyDescent="0.3">
      <c r="A98" s="10" t="s">
        <v>103</v>
      </c>
      <c r="B98" s="10" t="s">
        <v>109</v>
      </c>
      <c r="C98" s="11" t="str">
        <f t="shared" si="1"/>
        <v>М</v>
      </c>
      <c r="D98" s="19"/>
      <c r="E98" s="11" t="s">
        <v>12</v>
      </c>
      <c r="F98" s="11"/>
      <c r="H98" s="11">
        <f>IFERROR(INDEX(Таблица243[Жребий],MATCH(Список!A98,Таблица243[Подразделение],0)),"")</f>
        <v>3</v>
      </c>
      <c r="I98" s="62">
        <v>31595</v>
      </c>
    </row>
    <row r="99" spans="1:9" x14ac:dyDescent="0.3">
      <c r="A99" s="10" t="s">
        <v>103</v>
      </c>
      <c r="B99" s="10" t="s">
        <v>110</v>
      </c>
      <c r="C99" s="11" t="str">
        <f t="shared" si="1"/>
        <v>М</v>
      </c>
      <c r="D99" s="19"/>
      <c r="E99" s="11" t="s">
        <v>12</v>
      </c>
      <c r="F99" s="11" t="s">
        <v>200</v>
      </c>
      <c r="G99" s="10">
        <v>78</v>
      </c>
      <c r="H99" s="11">
        <f>IFERROR(INDEX(Таблица243[Жребий],MATCH(Список!A99,Таблица243[Подразделение],0)),"")</f>
        <v>3</v>
      </c>
      <c r="I99" s="62">
        <v>29441</v>
      </c>
    </row>
    <row r="100" spans="1:9" x14ac:dyDescent="0.3">
      <c r="A100" s="10" t="s">
        <v>103</v>
      </c>
      <c r="B100" s="10" t="s">
        <v>111</v>
      </c>
      <c r="C100" s="11" t="str">
        <f t="shared" si="1"/>
        <v>Ж</v>
      </c>
      <c r="D100" s="19"/>
      <c r="E100" s="11"/>
      <c r="F100" s="11"/>
      <c r="H100" s="11">
        <f>IFERROR(INDEX(Таблица243[Жребий],MATCH(Список!A100,Таблица243[Подразделение],0)),"")</f>
        <v>3</v>
      </c>
      <c r="I100" s="62">
        <v>25236</v>
      </c>
    </row>
    <row r="101" spans="1:9" x14ac:dyDescent="0.3">
      <c r="A101" s="10" t="s">
        <v>103</v>
      </c>
      <c r="B101" s="10" t="s">
        <v>112</v>
      </c>
      <c r="C101" s="11" t="str">
        <f t="shared" si="1"/>
        <v>Ж</v>
      </c>
      <c r="D101" s="19"/>
      <c r="E101" s="11"/>
      <c r="F101" s="11"/>
      <c r="H101" s="11">
        <f>IFERROR(INDEX(Таблица243[Жребий],MATCH(Список!A101,Таблица243[Подразделение],0)),"")</f>
        <v>3</v>
      </c>
      <c r="I101" s="62">
        <v>28313</v>
      </c>
    </row>
    <row r="102" spans="1:9" x14ac:dyDescent="0.3">
      <c r="A102" s="10" t="s">
        <v>103</v>
      </c>
      <c r="B102" s="10" t="s">
        <v>113</v>
      </c>
      <c r="C102" s="11" t="str">
        <f t="shared" si="1"/>
        <v>М</v>
      </c>
      <c r="D102" s="19"/>
      <c r="E102" s="11"/>
      <c r="F102" s="11"/>
      <c r="H102" s="11">
        <f>IFERROR(INDEX(Таблица243[Жребий],MATCH(Список!A102,Таблица243[Подразделение],0)),"")</f>
        <v>3</v>
      </c>
      <c r="I102" s="62">
        <v>28609</v>
      </c>
    </row>
    <row r="103" spans="1:9" x14ac:dyDescent="0.3">
      <c r="A103" s="10" t="s">
        <v>103</v>
      </c>
      <c r="B103" s="10" t="s">
        <v>114</v>
      </c>
      <c r="C103" s="11" t="str">
        <f t="shared" si="1"/>
        <v>М</v>
      </c>
      <c r="D103" s="19"/>
      <c r="E103" s="11"/>
      <c r="F103" s="11"/>
      <c r="H103" s="11">
        <f>IFERROR(INDEX(Таблица243[Жребий],MATCH(Список!A103,Таблица243[Подразделение],0)),"")</f>
        <v>3</v>
      </c>
      <c r="I103" s="62">
        <v>26926</v>
      </c>
    </row>
    <row r="104" spans="1:9" x14ac:dyDescent="0.3">
      <c r="A104" s="10" t="s">
        <v>103</v>
      </c>
      <c r="B104" s="10" t="s">
        <v>115</v>
      </c>
      <c r="C104" s="11" t="str">
        <f t="shared" si="1"/>
        <v>М</v>
      </c>
      <c r="D104" s="19"/>
      <c r="E104" s="11" t="s">
        <v>12</v>
      </c>
      <c r="F104" s="11"/>
      <c r="H104" s="11">
        <f>IFERROR(INDEX(Таблица243[Жребий],MATCH(Список!A104,Таблица243[Подразделение],0)),"")</f>
        <v>3</v>
      </c>
      <c r="I104" s="62">
        <v>26258</v>
      </c>
    </row>
    <row r="105" spans="1:9" x14ac:dyDescent="0.3">
      <c r="A105" s="10" t="s">
        <v>103</v>
      </c>
      <c r="B105" s="10" t="s">
        <v>116</v>
      </c>
      <c r="C105" s="11" t="str">
        <f t="shared" si="1"/>
        <v>Ж</v>
      </c>
      <c r="D105" s="19"/>
      <c r="E105" s="11"/>
      <c r="F105" s="11"/>
      <c r="H105" s="11">
        <f>IFERROR(INDEX(Таблица243[Жребий],MATCH(Список!A105,Таблица243[Подразделение],0)),"")</f>
        <v>3</v>
      </c>
      <c r="I105" s="62">
        <v>30729</v>
      </c>
    </row>
    <row r="106" spans="1:9" x14ac:dyDescent="0.3">
      <c r="A106" s="10" t="s">
        <v>103</v>
      </c>
      <c r="B106" s="10" t="s">
        <v>117</v>
      </c>
      <c r="C106" s="11" t="str">
        <f t="shared" si="1"/>
        <v>М</v>
      </c>
      <c r="D106" s="19"/>
      <c r="E106" s="11"/>
      <c r="F106" s="11"/>
      <c r="H106" s="11">
        <f>IFERROR(INDEX(Таблица243[Жребий],MATCH(Список!A106,Таблица243[Подразделение],0)),"")</f>
        <v>3</v>
      </c>
      <c r="I106" s="62">
        <v>33279</v>
      </c>
    </row>
    <row r="107" spans="1:9" x14ac:dyDescent="0.3">
      <c r="A107" s="10" t="s">
        <v>103</v>
      </c>
      <c r="B107" s="10" t="s">
        <v>118</v>
      </c>
      <c r="C107" s="11" t="str">
        <f t="shared" si="1"/>
        <v>М</v>
      </c>
      <c r="D107" s="19"/>
      <c r="E107" s="11"/>
      <c r="F107" s="11"/>
      <c r="H107" s="11">
        <f>IFERROR(INDEX(Таблица243[Жребий],MATCH(Список!A107,Таблица243[Подразделение],0)),"")</f>
        <v>3</v>
      </c>
      <c r="I107" s="62">
        <v>30310</v>
      </c>
    </row>
    <row r="108" spans="1:9" x14ac:dyDescent="0.3">
      <c r="A108" s="10" t="s">
        <v>103</v>
      </c>
      <c r="B108" s="10" t="s">
        <v>119</v>
      </c>
      <c r="C108" s="11" t="str">
        <f t="shared" si="1"/>
        <v>М</v>
      </c>
      <c r="D108" s="19"/>
      <c r="E108" s="11"/>
      <c r="F108" s="11"/>
      <c r="H108" s="11">
        <f>IFERROR(INDEX(Таблица243[Жребий],MATCH(Список!A108,Таблица243[Подразделение],0)),"")</f>
        <v>3</v>
      </c>
      <c r="I108" s="62">
        <v>33462</v>
      </c>
    </row>
    <row r="109" spans="1:9" x14ac:dyDescent="0.3">
      <c r="A109" s="10" t="s">
        <v>120</v>
      </c>
      <c r="B109" s="10" t="s">
        <v>121</v>
      </c>
      <c r="C109" s="11" t="str">
        <f t="shared" si="1"/>
        <v>Ж</v>
      </c>
      <c r="D109" s="19" t="s">
        <v>6</v>
      </c>
      <c r="E109" s="11"/>
      <c r="F109" s="11"/>
      <c r="H109" s="11">
        <f>IFERROR(INDEX(Таблица243[Жребий],MATCH(Список!A109,Таблица243[Подразделение],0)),"")</f>
        <v>4</v>
      </c>
      <c r="I109" s="62">
        <v>29228</v>
      </c>
    </row>
    <row r="110" spans="1:9" x14ac:dyDescent="0.3">
      <c r="A110" s="10" t="s">
        <v>120</v>
      </c>
      <c r="B110" s="10" t="s">
        <v>122</v>
      </c>
      <c r="C110" s="11" t="str">
        <f t="shared" si="1"/>
        <v>М</v>
      </c>
      <c r="D110" s="19" t="s">
        <v>6</v>
      </c>
      <c r="E110" s="11"/>
      <c r="F110" s="11"/>
      <c r="H110" s="11">
        <f>IFERROR(INDEX(Таблица243[Жребий],MATCH(Список!A110,Таблица243[Подразделение],0)),"")</f>
        <v>4</v>
      </c>
      <c r="I110" s="62">
        <v>31813</v>
      </c>
    </row>
    <row r="111" spans="1:9" x14ac:dyDescent="0.3">
      <c r="A111" s="10" t="s">
        <v>120</v>
      </c>
      <c r="B111" s="10" t="s">
        <v>123</v>
      </c>
      <c r="C111" s="11" t="str">
        <f t="shared" si="1"/>
        <v>М</v>
      </c>
      <c r="D111" s="19" t="s">
        <v>6</v>
      </c>
      <c r="E111" s="11"/>
      <c r="F111" s="11" t="s">
        <v>200</v>
      </c>
      <c r="G111" s="10">
        <v>87</v>
      </c>
      <c r="H111" s="11">
        <f>IFERROR(INDEX(Таблица243[Жребий],MATCH(Список!A111,Таблица243[Подразделение],0)),"")</f>
        <v>4</v>
      </c>
      <c r="I111" s="62">
        <v>30531</v>
      </c>
    </row>
    <row r="112" spans="1:9" x14ac:dyDescent="0.3">
      <c r="A112" s="10" t="s">
        <v>120</v>
      </c>
      <c r="B112" s="10" t="s">
        <v>124</v>
      </c>
      <c r="C112" s="11" t="str">
        <f t="shared" si="1"/>
        <v>М</v>
      </c>
      <c r="D112" s="19" t="s">
        <v>6</v>
      </c>
      <c r="E112" s="11"/>
      <c r="F112" s="11"/>
      <c r="H112" s="11">
        <f>IFERROR(INDEX(Таблица243[Жребий],MATCH(Список!A112,Таблица243[Подразделение],0)),"")</f>
        <v>4</v>
      </c>
      <c r="I112" s="62">
        <v>28338</v>
      </c>
    </row>
    <row r="113" spans="1:9" x14ac:dyDescent="0.3">
      <c r="A113" s="10" t="s">
        <v>120</v>
      </c>
      <c r="B113" s="10" t="s">
        <v>125</v>
      </c>
      <c r="C113" s="11" t="str">
        <f t="shared" si="1"/>
        <v>М</v>
      </c>
      <c r="D113" s="19"/>
      <c r="E113" s="11" t="s">
        <v>12</v>
      </c>
      <c r="F113" s="11"/>
      <c r="H113" s="11">
        <f>IFERROR(INDEX(Таблица243[Жребий],MATCH(Список!A113,Таблица243[Подразделение],0)),"")</f>
        <v>4</v>
      </c>
      <c r="I113" s="62">
        <v>33181</v>
      </c>
    </row>
    <row r="114" spans="1:9" x14ac:dyDescent="0.3">
      <c r="A114" s="10" t="s">
        <v>120</v>
      </c>
      <c r="B114" s="10" t="s">
        <v>126</v>
      </c>
      <c r="C114" s="11" t="str">
        <f t="shared" si="1"/>
        <v>Ж</v>
      </c>
      <c r="D114" s="19"/>
      <c r="E114" s="11" t="s">
        <v>12</v>
      </c>
      <c r="F114" s="11"/>
      <c r="H114" s="11">
        <f>IFERROR(INDEX(Таблица243[Жребий],MATCH(Список!A114,Таблица243[Подразделение],0)),"")</f>
        <v>4</v>
      </c>
      <c r="I114" s="62">
        <v>29867</v>
      </c>
    </row>
    <row r="115" spans="1:9" x14ac:dyDescent="0.3">
      <c r="A115" s="10" t="s">
        <v>120</v>
      </c>
      <c r="B115" s="10" t="s">
        <v>127</v>
      </c>
      <c r="C115" s="11" t="str">
        <f t="shared" si="1"/>
        <v>Ж</v>
      </c>
      <c r="D115" s="19"/>
      <c r="E115" s="11" t="s">
        <v>12</v>
      </c>
      <c r="F115" s="11"/>
      <c r="H115" s="11">
        <f>IFERROR(INDEX(Таблица243[Жребий],MATCH(Список!A115,Таблица243[Подразделение],0)),"")</f>
        <v>4</v>
      </c>
      <c r="I115" s="62">
        <v>28108</v>
      </c>
    </row>
    <row r="116" spans="1:9" x14ac:dyDescent="0.3">
      <c r="A116" s="10" t="s">
        <v>120</v>
      </c>
      <c r="B116" s="10" t="s">
        <v>128</v>
      </c>
      <c r="C116" s="11" t="str">
        <f t="shared" si="1"/>
        <v>Ж</v>
      </c>
      <c r="D116" s="19"/>
      <c r="E116" s="11" t="s">
        <v>12</v>
      </c>
      <c r="F116" s="11"/>
      <c r="H116" s="11">
        <f>IFERROR(INDEX(Таблица243[Жребий],MATCH(Список!A116,Таблица243[Подразделение],0)),"")</f>
        <v>4</v>
      </c>
      <c r="I116" s="62">
        <v>32751</v>
      </c>
    </row>
    <row r="117" spans="1:9" x14ac:dyDescent="0.3">
      <c r="A117" s="10" t="s">
        <v>120</v>
      </c>
      <c r="B117" s="10" t="s">
        <v>129</v>
      </c>
      <c r="C117" s="11" t="str">
        <f t="shared" si="1"/>
        <v>М</v>
      </c>
      <c r="D117" s="19"/>
      <c r="E117" s="11"/>
      <c r="F117" s="11"/>
      <c r="H117" s="11">
        <f>IFERROR(INDEX(Таблица243[Жребий],MATCH(Список!A117,Таблица243[Подразделение],0)),"")</f>
        <v>4</v>
      </c>
      <c r="I117" s="62">
        <v>31098</v>
      </c>
    </row>
    <row r="118" spans="1:9" x14ac:dyDescent="0.3">
      <c r="A118" s="10" t="s">
        <v>120</v>
      </c>
      <c r="B118" s="10" t="s">
        <v>130</v>
      </c>
      <c r="C118" s="11" t="str">
        <f t="shared" si="1"/>
        <v>Ж</v>
      </c>
      <c r="D118" s="19"/>
      <c r="E118" s="11"/>
      <c r="F118" s="11"/>
      <c r="H118" s="11">
        <f>IFERROR(INDEX(Таблица243[Жребий],MATCH(Список!A118,Таблица243[Подразделение],0)),"")</f>
        <v>4</v>
      </c>
      <c r="I118" s="62">
        <v>30681</v>
      </c>
    </row>
    <row r="119" spans="1:9" x14ac:dyDescent="0.3">
      <c r="A119" s="10" t="s">
        <v>120</v>
      </c>
      <c r="B119" s="10" t="s">
        <v>131</v>
      </c>
      <c r="C119" s="11" t="str">
        <f t="shared" si="1"/>
        <v>М</v>
      </c>
      <c r="D119" s="19"/>
      <c r="E119" s="11"/>
      <c r="F119" s="11"/>
      <c r="H119" s="11">
        <f>IFERROR(INDEX(Таблица243[Жребий],MATCH(Список!A119,Таблица243[Подразделение],0)),"")</f>
        <v>4</v>
      </c>
      <c r="I119" s="62">
        <v>30622</v>
      </c>
    </row>
    <row r="120" spans="1:9" x14ac:dyDescent="0.3">
      <c r="A120" s="10" t="s">
        <v>120</v>
      </c>
      <c r="B120" s="10" t="s">
        <v>132</v>
      </c>
      <c r="C120" s="11" t="str">
        <f t="shared" si="1"/>
        <v>Ж</v>
      </c>
      <c r="D120" s="19"/>
      <c r="E120" s="11"/>
      <c r="F120" s="11"/>
      <c r="H120" s="11">
        <f>IFERROR(INDEX(Таблица243[Жребий],MATCH(Список!A120,Таблица243[Подразделение],0)),"")</f>
        <v>4</v>
      </c>
      <c r="I120" s="62">
        <v>32791</v>
      </c>
    </row>
    <row r="121" spans="1:9" x14ac:dyDescent="0.3">
      <c r="A121" s="10" t="s">
        <v>120</v>
      </c>
      <c r="B121" s="10" t="s">
        <v>133</v>
      </c>
      <c r="C121" s="11" t="str">
        <f t="shared" si="1"/>
        <v>Ж</v>
      </c>
      <c r="D121" s="19"/>
      <c r="E121" s="11"/>
      <c r="F121" s="11"/>
      <c r="H121" s="11">
        <f>IFERROR(INDEX(Таблица243[Жребий],MATCH(Список!A121,Таблица243[Подразделение],0)),"")</f>
        <v>4</v>
      </c>
      <c r="I121" s="62">
        <v>31322</v>
      </c>
    </row>
    <row r="122" spans="1:9" x14ac:dyDescent="0.3">
      <c r="A122" s="10" t="s">
        <v>120</v>
      </c>
      <c r="B122" s="10" t="s">
        <v>134</v>
      </c>
      <c r="C122" s="11" t="str">
        <f t="shared" si="1"/>
        <v>М</v>
      </c>
      <c r="D122" s="19"/>
      <c r="E122" s="11"/>
      <c r="F122" s="11"/>
      <c r="H122" s="11">
        <f>IFERROR(INDEX(Таблица243[Жребий],MATCH(Список!A122,Таблица243[Подразделение],0)),"")</f>
        <v>4</v>
      </c>
      <c r="I122" s="62">
        <v>34402</v>
      </c>
    </row>
    <row r="123" spans="1:9" x14ac:dyDescent="0.3">
      <c r="A123" s="10" t="s">
        <v>120</v>
      </c>
      <c r="B123" s="10" t="s">
        <v>135</v>
      </c>
      <c r="C123" s="11" t="str">
        <f t="shared" si="1"/>
        <v>М</v>
      </c>
      <c r="D123" s="19"/>
      <c r="E123" s="11"/>
      <c r="F123" s="11"/>
      <c r="H123" s="11">
        <f>IFERROR(INDEX(Таблица243[Жребий],MATCH(Список!A123,Таблица243[Подразделение],0)),"")</f>
        <v>4</v>
      </c>
      <c r="I123" s="62">
        <v>31092</v>
      </c>
    </row>
    <row r="124" spans="1:9" x14ac:dyDescent="0.3">
      <c r="A124" s="10" t="s">
        <v>136</v>
      </c>
      <c r="B124" s="10" t="s">
        <v>137</v>
      </c>
      <c r="C124" s="11" t="str">
        <f t="shared" si="1"/>
        <v>М</v>
      </c>
      <c r="D124" s="19"/>
      <c r="E124" s="11" t="s">
        <v>12</v>
      </c>
      <c r="F124" s="11"/>
      <c r="H124" s="11">
        <f>IFERROR(INDEX(Таблица243[Жребий],MATCH(Список!A124,Таблица243[Подразделение],0)),"")</f>
        <v>5</v>
      </c>
      <c r="I124" s="62">
        <v>30895</v>
      </c>
    </row>
    <row r="125" spans="1:9" x14ac:dyDescent="0.3">
      <c r="A125" s="10" t="s">
        <v>136</v>
      </c>
      <c r="B125" s="10" t="s">
        <v>138</v>
      </c>
      <c r="C125" s="11" t="str">
        <f t="shared" si="1"/>
        <v>М</v>
      </c>
      <c r="D125" s="19"/>
      <c r="E125" s="11" t="s">
        <v>12</v>
      </c>
      <c r="F125" s="11"/>
      <c r="H125" s="11">
        <f>IFERROR(INDEX(Таблица243[Жребий],MATCH(Список!A125,Таблица243[Подразделение],0)),"")</f>
        <v>5</v>
      </c>
      <c r="I125" s="62">
        <v>31503</v>
      </c>
    </row>
    <row r="126" spans="1:9" x14ac:dyDescent="0.3">
      <c r="A126" s="10" t="s">
        <v>136</v>
      </c>
      <c r="B126" s="10" t="s">
        <v>139</v>
      </c>
      <c r="C126" s="11" t="str">
        <f t="shared" si="1"/>
        <v>М</v>
      </c>
      <c r="D126" s="19"/>
      <c r="E126" s="11" t="s">
        <v>12</v>
      </c>
      <c r="F126" s="11"/>
      <c r="H126" s="11">
        <f>IFERROR(INDEX(Таблица243[Жребий],MATCH(Список!A126,Таблица243[Подразделение],0)),"")</f>
        <v>5</v>
      </c>
      <c r="I126" s="62">
        <v>30272</v>
      </c>
    </row>
    <row r="127" spans="1:9" x14ac:dyDescent="0.3">
      <c r="A127" s="10" t="s">
        <v>136</v>
      </c>
      <c r="B127" s="10" t="s">
        <v>140</v>
      </c>
      <c r="C127" s="11" t="str">
        <f t="shared" si="1"/>
        <v>Ж</v>
      </c>
      <c r="D127" s="19" t="s">
        <v>6</v>
      </c>
      <c r="E127" s="11"/>
      <c r="F127" s="11"/>
      <c r="H127" s="11">
        <f>IFERROR(INDEX(Таблица243[Жребий],MATCH(Список!A127,Таблица243[Подразделение],0)),"")</f>
        <v>5</v>
      </c>
      <c r="I127" s="62">
        <v>31685</v>
      </c>
    </row>
    <row r="128" spans="1:9" x14ac:dyDescent="0.3">
      <c r="A128" s="10" t="s">
        <v>136</v>
      </c>
      <c r="B128" s="10" t="s">
        <v>141</v>
      </c>
      <c r="C128" s="11" t="str">
        <f t="shared" si="1"/>
        <v>Ж</v>
      </c>
      <c r="D128" s="19" t="s">
        <v>6</v>
      </c>
      <c r="E128" s="11" t="s">
        <v>12</v>
      </c>
      <c r="F128" s="11"/>
      <c r="H128" s="11">
        <f>IFERROR(INDEX(Таблица243[Жребий],MATCH(Список!A128,Таблица243[Подразделение],0)),"")</f>
        <v>5</v>
      </c>
      <c r="I128" s="62">
        <v>30192</v>
      </c>
    </row>
    <row r="129" spans="1:9" x14ac:dyDescent="0.3">
      <c r="A129" s="10" t="s">
        <v>136</v>
      </c>
      <c r="B129" s="10" t="s">
        <v>142</v>
      </c>
      <c r="C129" s="11" t="str">
        <f t="shared" si="1"/>
        <v>Ж</v>
      </c>
      <c r="D129" s="19" t="s">
        <v>6</v>
      </c>
      <c r="E129" s="11"/>
      <c r="F129" s="11"/>
      <c r="H129" s="11">
        <f>IFERROR(INDEX(Таблица243[Жребий],MATCH(Список!A129,Таблица243[Подразделение],0)),"")</f>
        <v>5</v>
      </c>
      <c r="I129" s="62">
        <v>26426</v>
      </c>
    </row>
    <row r="130" spans="1:9" x14ac:dyDescent="0.3">
      <c r="A130" s="10" t="s">
        <v>136</v>
      </c>
      <c r="B130" s="10" t="s">
        <v>143</v>
      </c>
      <c r="C130" s="11" t="str">
        <f t="shared" si="1"/>
        <v>М</v>
      </c>
      <c r="D130" s="19" t="s">
        <v>6</v>
      </c>
      <c r="E130" s="11"/>
      <c r="F130" s="11"/>
      <c r="H130" s="11">
        <f>IFERROR(INDEX(Таблица243[Жребий],MATCH(Список!A130,Таблица243[Подразделение],0)),"")</f>
        <v>5</v>
      </c>
      <c r="I130" s="62">
        <v>31280</v>
      </c>
    </row>
    <row r="131" spans="1:9" x14ac:dyDescent="0.3">
      <c r="A131" s="10" t="s">
        <v>136</v>
      </c>
      <c r="B131" s="10" t="s">
        <v>144</v>
      </c>
      <c r="C131" s="11" t="str">
        <f t="shared" ref="C131:C194" si="2">IF(RIGHT(B131)="ч","М",IF(RIGHT(B131)="а","Ж",IF(RIGHT(B131)=".","---"," ")))</f>
        <v>Ж</v>
      </c>
      <c r="D131" s="19"/>
      <c r="E131" s="11"/>
      <c r="F131" s="11" t="s">
        <v>200</v>
      </c>
      <c r="G131" s="10">
        <v>741</v>
      </c>
      <c r="H131" s="11">
        <f>IFERROR(INDEX(Таблица243[Жребий],MATCH(Список!A131,Таблица243[Подразделение],0)),"")</f>
        <v>5</v>
      </c>
      <c r="I131" s="62">
        <v>32507</v>
      </c>
    </row>
    <row r="132" spans="1:9" x14ac:dyDescent="0.3">
      <c r="A132" s="10" t="s">
        <v>136</v>
      </c>
      <c r="B132" s="10" t="s">
        <v>145</v>
      </c>
      <c r="C132" s="11" t="str">
        <f t="shared" si="2"/>
        <v>Ж</v>
      </c>
      <c r="D132" s="19"/>
      <c r="E132" s="11"/>
      <c r="F132" s="11"/>
      <c r="H132" s="11">
        <f>IFERROR(INDEX(Таблица243[Жребий],MATCH(Список!A132,Таблица243[Подразделение],0)),"")</f>
        <v>5</v>
      </c>
      <c r="I132" s="62">
        <v>28885</v>
      </c>
    </row>
    <row r="133" spans="1:9" x14ac:dyDescent="0.3">
      <c r="A133" s="10" t="s">
        <v>136</v>
      </c>
      <c r="B133" s="10" t="s">
        <v>146</v>
      </c>
      <c r="C133" s="11" t="str">
        <f t="shared" si="2"/>
        <v>Ж</v>
      </c>
      <c r="D133" s="19"/>
      <c r="E133" s="11"/>
      <c r="F133" s="11"/>
      <c r="H133" s="11">
        <f>IFERROR(INDEX(Таблица243[Жребий],MATCH(Список!A133,Таблица243[Подразделение],0)),"")</f>
        <v>5</v>
      </c>
      <c r="I133" s="62">
        <v>32823</v>
      </c>
    </row>
    <row r="134" spans="1:9" x14ac:dyDescent="0.3">
      <c r="A134" s="10" t="s">
        <v>136</v>
      </c>
      <c r="B134" s="10" t="s">
        <v>147</v>
      </c>
      <c r="C134" s="11" t="str">
        <f t="shared" si="2"/>
        <v>Ж</v>
      </c>
      <c r="D134" s="19"/>
      <c r="E134" s="11"/>
      <c r="F134" s="11"/>
      <c r="H134" s="11">
        <f>IFERROR(INDEX(Таблица243[Жребий],MATCH(Список!A134,Таблица243[Подразделение],0)),"")</f>
        <v>5</v>
      </c>
      <c r="I134" s="62">
        <v>29380</v>
      </c>
    </row>
    <row r="135" spans="1:9" x14ac:dyDescent="0.3">
      <c r="A135" s="10" t="s">
        <v>136</v>
      </c>
      <c r="B135" s="10" t="s">
        <v>148</v>
      </c>
      <c r="C135" s="11" t="str">
        <f t="shared" si="2"/>
        <v>Ж</v>
      </c>
      <c r="D135" s="19"/>
      <c r="E135" s="11"/>
      <c r="F135" s="11"/>
      <c r="H135" s="11">
        <f>IFERROR(INDEX(Таблица243[Жребий],MATCH(Список!A135,Таблица243[Подразделение],0)),"")</f>
        <v>5</v>
      </c>
      <c r="I135" s="62">
        <v>30824</v>
      </c>
    </row>
    <row r="136" spans="1:9" x14ac:dyDescent="0.3">
      <c r="A136" s="10" t="s">
        <v>136</v>
      </c>
      <c r="B136" s="10" t="s">
        <v>149</v>
      </c>
      <c r="C136" s="11" t="str">
        <f t="shared" si="2"/>
        <v>М</v>
      </c>
      <c r="D136" s="19"/>
      <c r="E136" s="11"/>
      <c r="F136" s="11"/>
      <c r="H136" s="11">
        <f>IFERROR(INDEX(Таблица243[Жребий],MATCH(Список!A136,Таблица243[Подразделение],0)),"")</f>
        <v>5</v>
      </c>
      <c r="I136" s="62">
        <v>26893</v>
      </c>
    </row>
    <row r="137" spans="1:9" x14ac:dyDescent="0.3">
      <c r="A137" s="10" t="s">
        <v>136</v>
      </c>
      <c r="B137" s="10" t="s">
        <v>150</v>
      </c>
      <c r="C137" s="11" t="str">
        <f t="shared" si="2"/>
        <v>Ж</v>
      </c>
      <c r="D137" s="19"/>
      <c r="E137" s="11"/>
      <c r="F137" s="11"/>
      <c r="H137" s="11">
        <f>IFERROR(INDEX(Таблица243[Жребий],MATCH(Список!A137,Таблица243[Подразделение],0)),"")</f>
        <v>5</v>
      </c>
      <c r="I137" s="62">
        <v>26730</v>
      </c>
    </row>
    <row r="138" spans="1:9" x14ac:dyDescent="0.3">
      <c r="A138" s="10" t="s">
        <v>136</v>
      </c>
      <c r="B138" s="10" t="s">
        <v>151</v>
      </c>
      <c r="C138" s="11" t="str">
        <f t="shared" si="2"/>
        <v>Ж</v>
      </c>
      <c r="D138" s="19"/>
      <c r="E138" s="11"/>
      <c r="F138" s="11"/>
      <c r="H138" s="11">
        <f>IFERROR(INDEX(Таблица243[Жребий],MATCH(Список!A138,Таблица243[Подразделение],0)),"")</f>
        <v>5</v>
      </c>
      <c r="I138" s="62">
        <v>30370</v>
      </c>
    </row>
    <row r="139" spans="1:9" x14ac:dyDescent="0.3">
      <c r="A139" s="10" t="s">
        <v>136</v>
      </c>
      <c r="B139" s="10" t="s">
        <v>152</v>
      </c>
      <c r="C139" s="11" t="str">
        <f t="shared" si="2"/>
        <v>М</v>
      </c>
      <c r="D139" s="19"/>
      <c r="E139" s="11"/>
      <c r="F139" s="11"/>
      <c r="H139" s="11">
        <f>IFERROR(INDEX(Таблица243[Жребий],MATCH(Список!A139,Таблица243[Подразделение],0)),"")</f>
        <v>5</v>
      </c>
      <c r="I139" s="62">
        <v>20440</v>
      </c>
    </row>
    <row r="140" spans="1:9" x14ac:dyDescent="0.3">
      <c r="A140" s="10" t="s">
        <v>153</v>
      </c>
      <c r="B140" s="10" t="s">
        <v>154</v>
      </c>
      <c r="C140" s="11" t="str">
        <f t="shared" si="2"/>
        <v>М</v>
      </c>
      <c r="D140" s="19" t="s">
        <v>6</v>
      </c>
      <c r="E140" s="11"/>
      <c r="F140" s="11"/>
      <c r="H140" s="11">
        <f>IFERROR(INDEX(Таблица243[Жребий],MATCH(Список!A140,Таблица243[Подразделение],0)),"")</f>
        <v>6</v>
      </c>
      <c r="I140" s="62">
        <v>31785</v>
      </c>
    </row>
    <row r="141" spans="1:9" x14ac:dyDescent="0.3">
      <c r="A141" s="10" t="s">
        <v>153</v>
      </c>
      <c r="B141" s="10" t="s">
        <v>155</v>
      </c>
      <c r="C141" s="11" t="str">
        <f t="shared" si="2"/>
        <v>М</v>
      </c>
      <c r="D141" s="19"/>
      <c r="E141" s="11"/>
      <c r="F141" s="11"/>
      <c r="H141" s="11">
        <f>IFERROR(INDEX(Таблица243[Жребий],MATCH(Список!A141,Таблица243[Подразделение],0)),"")</f>
        <v>6</v>
      </c>
      <c r="I141" s="62">
        <v>31846</v>
      </c>
    </row>
    <row r="142" spans="1:9" x14ac:dyDescent="0.3">
      <c r="A142" s="10" t="s">
        <v>153</v>
      </c>
      <c r="B142" s="10" t="s">
        <v>156</v>
      </c>
      <c r="C142" s="11" t="str">
        <f t="shared" si="2"/>
        <v>М</v>
      </c>
      <c r="D142" s="19"/>
      <c r="E142" s="11" t="s">
        <v>12</v>
      </c>
      <c r="F142" s="11"/>
      <c r="H142" s="11">
        <f>IFERROR(INDEX(Таблица243[Жребий],MATCH(Список!A142,Таблица243[Подразделение],0)),"")</f>
        <v>6</v>
      </c>
      <c r="I142" s="62">
        <v>33897</v>
      </c>
    </row>
    <row r="143" spans="1:9" x14ac:dyDescent="0.3">
      <c r="A143" s="10" t="s">
        <v>153</v>
      </c>
      <c r="B143" s="10" t="s">
        <v>157</v>
      </c>
      <c r="C143" s="11" t="str">
        <f t="shared" si="2"/>
        <v>М</v>
      </c>
      <c r="D143" s="19" t="s">
        <v>6</v>
      </c>
      <c r="E143" s="11"/>
      <c r="F143" s="11"/>
      <c r="H143" s="11">
        <f>IFERROR(INDEX(Таблица243[Жребий],MATCH(Список!A143,Таблица243[Подразделение],0)),"")</f>
        <v>6</v>
      </c>
      <c r="I143" s="62">
        <v>32271</v>
      </c>
    </row>
    <row r="144" spans="1:9" x14ac:dyDescent="0.3">
      <c r="A144" s="10" t="s">
        <v>153</v>
      </c>
      <c r="B144" s="10" t="s">
        <v>158</v>
      </c>
      <c r="C144" s="11" t="str">
        <f t="shared" si="2"/>
        <v>М</v>
      </c>
      <c r="D144" s="19" t="s">
        <v>6</v>
      </c>
      <c r="E144" s="11"/>
      <c r="F144" s="11" t="s">
        <v>200</v>
      </c>
      <c r="G144" s="10">
        <v>111</v>
      </c>
      <c r="H144" s="11">
        <f>IFERROR(INDEX(Таблица243[Жребий],MATCH(Список!A144,Таблица243[Подразделение],0)),"")</f>
        <v>6</v>
      </c>
      <c r="I144" s="62">
        <v>33085</v>
      </c>
    </row>
    <row r="145" spans="1:9" x14ac:dyDescent="0.3">
      <c r="A145" s="10" t="s">
        <v>153</v>
      </c>
      <c r="B145" s="10" t="s">
        <v>159</v>
      </c>
      <c r="C145" s="11" t="str">
        <f t="shared" si="2"/>
        <v>Ж</v>
      </c>
      <c r="D145" s="19"/>
      <c r="E145" s="11"/>
      <c r="F145" s="11"/>
      <c r="H145" s="11">
        <f>IFERROR(INDEX(Таблица243[Жребий],MATCH(Список!A145,Таблица243[Подразделение],0)),"")</f>
        <v>6</v>
      </c>
      <c r="I145" s="62">
        <v>31801</v>
      </c>
    </row>
    <row r="146" spans="1:9" x14ac:dyDescent="0.3">
      <c r="A146" s="10" t="s">
        <v>153</v>
      </c>
      <c r="B146" s="10" t="s">
        <v>160</v>
      </c>
      <c r="C146" s="11" t="str">
        <f t="shared" si="2"/>
        <v>М</v>
      </c>
      <c r="D146" s="19"/>
      <c r="E146" s="11"/>
      <c r="F146" s="11"/>
      <c r="H146" s="11">
        <f>IFERROR(INDEX(Таблица243[Жребий],MATCH(Список!A146,Таблица243[Подразделение],0)),"")</f>
        <v>6</v>
      </c>
      <c r="I146" s="62">
        <v>32108</v>
      </c>
    </row>
    <row r="147" spans="1:9" x14ac:dyDescent="0.3">
      <c r="A147" s="10" t="s">
        <v>153</v>
      </c>
      <c r="B147" s="10" t="s">
        <v>161</v>
      </c>
      <c r="C147" s="11" t="str">
        <f t="shared" si="2"/>
        <v>Ж</v>
      </c>
      <c r="D147" s="19"/>
      <c r="E147" s="11" t="s">
        <v>12</v>
      </c>
      <c r="F147" s="11"/>
      <c r="H147" s="11">
        <f>IFERROR(INDEX(Таблица243[Жребий],MATCH(Список!A147,Таблица243[Подразделение],0)),"")</f>
        <v>6</v>
      </c>
      <c r="I147" s="62">
        <v>33381</v>
      </c>
    </row>
    <row r="148" spans="1:9" x14ac:dyDescent="0.3">
      <c r="A148" s="10" t="s">
        <v>153</v>
      </c>
      <c r="B148" s="10" t="s">
        <v>162</v>
      </c>
      <c r="C148" s="11" t="str">
        <f t="shared" si="2"/>
        <v>Ж</v>
      </c>
      <c r="D148" s="19" t="s">
        <v>6</v>
      </c>
      <c r="E148" s="11" t="s">
        <v>12</v>
      </c>
      <c r="F148" s="11"/>
      <c r="H148" s="11">
        <f>IFERROR(INDEX(Таблица243[Жребий],MATCH(Список!A148,Таблица243[Подразделение],0)),"")</f>
        <v>6</v>
      </c>
      <c r="I148" s="62">
        <v>28232</v>
      </c>
    </row>
    <row r="149" spans="1:9" x14ac:dyDescent="0.3">
      <c r="A149" s="10" t="s">
        <v>153</v>
      </c>
      <c r="B149" s="10" t="s">
        <v>163</v>
      </c>
      <c r="C149" s="11" t="str">
        <f t="shared" si="2"/>
        <v>Ж</v>
      </c>
      <c r="D149" s="19"/>
      <c r="E149" s="11"/>
      <c r="F149" s="11"/>
      <c r="H149" s="11">
        <f>IFERROR(INDEX(Таблица243[Жребий],MATCH(Список!A149,Таблица243[Подразделение],0)),"")</f>
        <v>6</v>
      </c>
      <c r="I149" s="62">
        <v>32102</v>
      </c>
    </row>
    <row r="150" spans="1:9" x14ac:dyDescent="0.3">
      <c r="A150" s="10" t="s">
        <v>153</v>
      </c>
      <c r="B150" s="10" t="s">
        <v>164</v>
      </c>
      <c r="C150" s="11" t="str">
        <f t="shared" si="2"/>
        <v>Ж</v>
      </c>
      <c r="D150" s="19"/>
      <c r="E150" s="11" t="s">
        <v>12</v>
      </c>
      <c r="F150" s="11"/>
      <c r="H150" s="11">
        <f>IFERROR(INDEX(Таблица243[Жребий],MATCH(Список!A150,Таблица243[Подразделение],0)),"")</f>
        <v>6</v>
      </c>
      <c r="I150" s="62">
        <v>31262</v>
      </c>
    </row>
    <row r="151" spans="1:9" x14ac:dyDescent="0.3">
      <c r="A151" s="10" t="s">
        <v>153</v>
      </c>
      <c r="B151" s="10" t="s">
        <v>165</v>
      </c>
      <c r="C151" s="11" t="str">
        <f t="shared" si="2"/>
        <v>Ж</v>
      </c>
      <c r="D151" s="19"/>
      <c r="E151" s="11"/>
      <c r="F151" s="11"/>
      <c r="H151" s="11">
        <f>IFERROR(INDEX(Таблица243[Жребий],MATCH(Список!A151,Таблица243[Подразделение],0)),"")</f>
        <v>6</v>
      </c>
      <c r="I151" s="62">
        <v>30591</v>
      </c>
    </row>
    <row r="152" spans="1:9" x14ac:dyDescent="0.3">
      <c r="A152" s="10" t="s">
        <v>153</v>
      </c>
      <c r="B152" s="10" t="s">
        <v>166</v>
      </c>
      <c r="C152" s="11" t="str">
        <f t="shared" si="2"/>
        <v>Ж</v>
      </c>
      <c r="D152" s="19"/>
      <c r="E152" s="11"/>
      <c r="F152" s="11"/>
      <c r="H152" s="11">
        <f>IFERROR(INDEX(Таблица243[Жребий],MATCH(Список!A152,Таблица243[Подразделение],0)),"")</f>
        <v>6</v>
      </c>
      <c r="I152" s="62">
        <v>33391</v>
      </c>
    </row>
    <row r="153" spans="1:9" x14ac:dyDescent="0.3">
      <c r="A153" s="10" t="s">
        <v>153</v>
      </c>
      <c r="B153" s="10" t="s">
        <v>167</v>
      </c>
      <c r="C153" s="11" t="str">
        <f t="shared" si="2"/>
        <v>Ж</v>
      </c>
      <c r="D153" s="19"/>
      <c r="E153" s="11"/>
      <c r="F153" s="11"/>
      <c r="H153" s="11">
        <f>IFERROR(INDEX(Таблица243[Жребий],MATCH(Список!A153,Таблица243[Подразделение],0)),"")</f>
        <v>6</v>
      </c>
      <c r="I153" s="62">
        <v>29664</v>
      </c>
    </row>
    <row r="154" spans="1:9" x14ac:dyDescent="0.3">
      <c r="A154" s="10" t="s">
        <v>153</v>
      </c>
      <c r="B154" s="10" t="s">
        <v>168</v>
      </c>
      <c r="C154" s="11" t="str">
        <f t="shared" si="2"/>
        <v>Ж</v>
      </c>
      <c r="D154" s="19"/>
      <c r="E154" s="11"/>
      <c r="F154" s="11"/>
      <c r="H154" s="11">
        <f>IFERROR(INDEX(Таблица243[Жребий],MATCH(Список!A154,Таблица243[Подразделение],0)),"")</f>
        <v>6</v>
      </c>
      <c r="I154" s="62">
        <v>29601</v>
      </c>
    </row>
    <row r="155" spans="1:9" x14ac:dyDescent="0.3">
      <c r="A155" s="10" t="s">
        <v>153</v>
      </c>
      <c r="B155" s="10" t="s">
        <v>169</v>
      </c>
      <c r="C155" s="11" t="str">
        <f t="shared" si="2"/>
        <v>М</v>
      </c>
      <c r="D155" s="19"/>
      <c r="E155" s="11"/>
      <c r="F155" s="11"/>
      <c r="H155" s="11">
        <f>IFERROR(INDEX(Таблица243[Жребий],MATCH(Список!A155,Таблица243[Подразделение],0)),"")</f>
        <v>6</v>
      </c>
      <c r="I155" s="62">
        <v>28280</v>
      </c>
    </row>
    <row r="156" spans="1:9" x14ac:dyDescent="0.3">
      <c r="A156" s="10" t="s">
        <v>153</v>
      </c>
      <c r="B156" s="10" t="s">
        <v>170</v>
      </c>
      <c r="C156" s="11" t="str">
        <f t="shared" si="2"/>
        <v>Ж</v>
      </c>
      <c r="D156" s="19"/>
      <c r="E156" s="11"/>
      <c r="F156" s="11"/>
      <c r="H156" s="11">
        <f>IFERROR(INDEX(Таблица243[Жребий],MATCH(Список!A156,Таблица243[Подразделение],0)),"")</f>
        <v>6</v>
      </c>
      <c r="I156" s="62">
        <v>33303</v>
      </c>
    </row>
    <row r="157" spans="1:9" x14ac:dyDescent="0.3">
      <c r="A157" s="10" t="s">
        <v>153</v>
      </c>
      <c r="B157" s="10" t="s">
        <v>171</v>
      </c>
      <c r="C157" s="11" t="str">
        <f t="shared" si="2"/>
        <v>М</v>
      </c>
      <c r="D157" s="19"/>
      <c r="E157" s="11"/>
      <c r="F157" s="11"/>
      <c r="H157" s="11">
        <f>IFERROR(INDEX(Таблица243[Жребий],MATCH(Список!A157,Таблица243[Подразделение],0)),"")</f>
        <v>6</v>
      </c>
      <c r="I157" s="62">
        <v>30000</v>
      </c>
    </row>
    <row r="158" spans="1:9" x14ac:dyDescent="0.3">
      <c r="A158" s="10" t="s">
        <v>172</v>
      </c>
      <c r="B158" s="10" t="s">
        <v>173</v>
      </c>
      <c r="C158" s="11" t="str">
        <f t="shared" si="2"/>
        <v>М</v>
      </c>
      <c r="D158" s="19"/>
      <c r="E158" s="11"/>
      <c r="F158" s="11"/>
      <c r="H158" s="11">
        <f>IFERROR(INDEX(Таблица243[Жребий],MATCH(Список!A158,Таблица243[Подразделение],0)),"")</f>
        <v>11</v>
      </c>
      <c r="I158" s="62">
        <v>23915</v>
      </c>
    </row>
    <row r="159" spans="1:9" x14ac:dyDescent="0.3">
      <c r="A159" s="10" t="s">
        <v>172</v>
      </c>
      <c r="B159" s="10" t="s">
        <v>174</v>
      </c>
      <c r="C159" s="11" t="str">
        <f t="shared" si="2"/>
        <v>Ж</v>
      </c>
      <c r="D159" s="19"/>
      <c r="E159" s="11"/>
      <c r="F159" s="11" t="s">
        <v>200</v>
      </c>
      <c r="H159" s="11">
        <f>IFERROR(INDEX(Таблица243[Жребий],MATCH(Список!A159,Таблица243[Подразделение],0)),"")</f>
        <v>11</v>
      </c>
      <c r="I159" s="62">
        <v>32492</v>
      </c>
    </row>
    <row r="160" spans="1:9" x14ac:dyDescent="0.3">
      <c r="A160" s="10" t="s">
        <v>172</v>
      </c>
      <c r="B160" s="10" t="s">
        <v>175</v>
      </c>
      <c r="C160" s="11" t="str">
        <f t="shared" si="2"/>
        <v>М</v>
      </c>
      <c r="D160" s="19" t="s">
        <v>6</v>
      </c>
      <c r="E160" s="11"/>
      <c r="F160" s="11"/>
      <c r="H160" s="11">
        <f>IFERROR(INDEX(Таблица243[Жребий],MATCH(Список!A160,Таблица243[Подразделение],0)),"")</f>
        <v>11</v>
      </c>
      <c r="I160" s="62">
        <v>32849</v>
      </c>
    </row>
    <row r="161" spans="1:9" x14ac:dyDescent="0.3">
      <c r="A161" s="10" t="s">
        <v>172</v>
      </c>
      <c r="B161" s="10" t="s">
        <v>176</v>
      </c>
      <c r="C161" s="11" t="str">
        <f t="shared" si="2"/>
        <v>М</v>
      </c>
      <c r="D161" s="19"/>
      <c r="E161" s="11"/>
      <c r="F161" s="11"/>
      <c r="H161" s="11">
        <f>IFERROR(INDEX(Таблица243[Жребий],MATCH(Список!A161,Таблица243[Подразделение],0)),"")</f>
        <v>11</v>
      </c>
      <c r="I161" s="62">
        <v>34458</v>
      </c>
    </row>
    <row r="162" spans="1:9" x14ac:dyDescent="0.3">
      <c r="A162" s="10" t="s">
        <v>172</v>
      </c>
      <c r="B162" s="10" t="s">
        <v>177</v>
      </c>
      <c r="C162" s="11" t="str">
        <f t="shared" si="2"/>
        <v>Ж</v>
      </c>
      <c r="D162" s="19" t="s">
        <v>6</v>
      </c>
      <c r="E162" s="11"/>
      <c r="F162" s="11"/>
      <c r="H162" s="11">
        <f>IFERROR(INDEX(Таблица243[Жребий],MATCH(Список!A162,Таблица243[Подразделение],0)),"")</f>
        <v>11</v>
      </c>
      <c r="I162" s="62">
        <v>23633</v>
      </c>
    </row>
    <row r="163" spans="1:9" x14ac:dyDescent="0.3">
      <c r="A163" s="10" t="s">
        <v>172</v>
      </c>
      <c r="B163" s="10" t="s">
        <v>178</v>
      </c>
      <c r="C163" s="11" t="str">
        <f t="shared" si="2"/>
        <v>М</v>
      </c>
      <c r="D163" s="19" t="s">
        <v>6</v>
      </c>
      <c r="E163" s="11" t="s">
        <v>12</v>
      </c>
      <c r="F163" s="11"/>
      <c r="H163" s="11">
        <f>IFERROR(INDEX(Таблица243[Жребий],MATCH(Список!A163,Таблица243[Подразделение],0)),"")</f>
        <v>11</v>
      </c>
      <c r="I163" s="62">
        <v>32522</v>
      </c>
    </row>
    <row r="164" spans="1:9" x14ac:dyDescent="0.3">
      <c r="A164" s="10" t="s">
        <v>172</v>
      </c>
      <c r="B164" s="10" t="s">
        <v>179</v>
      </c>
      <c r="C164" s="11" t="str">
        <f t="shared" si="2"/>
        <v>М</v>
      </c>
      <c r="D164" s="19"/>
      <c r="E164" s="11" t="s">
        <v>12</v>
      </c>
      <c r="F164" s="11"/>
      <c r="H164" s="11">
        <f>IFERROR(INDEX(Таблица243[Жребий],MATCH(Список!A164,Таблица243[Подразделение],0)),"")</f>
        <v>11</v>
      </c>
      <c r="I164" s="62">
        <v>31098</v>
      </c>
    </row>
    <row r="165" spans="1:9" x14ac:dyDescent="0.3">
      <c r="A165" s="10" t="s">
        <v>172</v>
      </c>
      <c r="B165" s="10" t="s">
        <v>180</v>
      </c>
      <c r="C165" s="11" t="str">
        <f t="shared" si="2"/>
        <v>Ж</v>
      </c>
      <c r="D165" s="19"/>
      <c r="E165" s="11"/>
      <c r="F165" s="11"/>
      <c r="H165" s="11">
        <f>IFERROR(INDEX(Таблица243[Жребий],MATCH(Список!A165,Таблица243[Подразделение],0)),"")</f>
        <v>11</v>
      </c>
      <c r="I165" s="62">
        <v>23489</v>
      </c>
    </row>
    <row r="166" spans="1:9" x14ac:dyDescent="0.3">
      <c r="A166" s="10" t="s">
        <v>172</v>
      </c>
      <c r="B166" s="10" t="s">
        <v>181</v>
      </c>
      <c r="C166" s="11" t="str">
        <f t="shared" si="2"/>
        <v>М</v>
      </c>
      <c r="D166" s="19"/>
      <c r="E166" s="11" t="s">
        <v>12</v>
      </c>
      <c r="F166" s="11"/>
      <c r="H166" s="11">
        <f>IFERROR(INDEX(Таблица243[Жребий],MATCH(Список!A166,Таблица243[Подразделение],0)),"")</f>
        <v>11</v>
      </c>
      <c r="I166" s="62">
        <v>30992</v>
      </c>
    </row>
    <row r="167" spans="1:9" x14ac:dyDescent="0.3">
      <c r="A167" s="10" t="s">
        <v>172</v>
      </c>
      <c r="B167" s="10" t="s">
        <v>182</v>
      </c>
      <c r="C167" s="11" t="str">
        <f t="shared" si="2"/>
        <v>Ж</v>
      </c>
      <c r="D167" s="19"/>
      <c r="E167" s="11"/>
      <c r="F167" s="11"/>
      <c r="H167" s="11">
        <f>IFERROR(INDEX(Таблица243[Жребий],MATCH(Список!A167,Таблица243[Подразделение],0)),"")</f>
        <v>11</v>
      </c>
      <c r="I167" s="62">
        <v>22609</v>
      </c>
    </row>
    <row r="168" spans="1:9" x14ac:dyDescent="0.3">
      <c r="A168" s="10" t="s">
        <v>172</v>
      </c>
      <c r="B168" s="10" t="s">
        <v>183</v>
      </c>
      <c r="C168" s="11" t="str">
        <f t="shared" si="2"/>
        <v>Ж</v>
      </c>
      <c r="D168" s="19"/>
      <c r="E168" s="11"/>
      <c r="F168" s="11"/>
      <c r="H168" s="11">
        <f>IFERROR(INDEX(Таблица243[Жребий],MATCH(Список!A168,Таблица243[Подразделение],0)),"")</f>
        <v>11</v>
      </c>
      <c r="I168" s="62">
        <v>24345</v>
      </c>
    </row>
    <row r="169" spans="1:9" x14ac:dyDescent="0.3">
      <c r="A169" s="10" t="s">
        <v>172</v>
      </c>
      <c r="B169" s="10" t="s">
        <v>184</v>
      </c>
      <c r="C169" s="11" t="str">
        <f t="shared" si="2"/>
        <v>Ж</v>
      </c>
      <c r="D169" s="19"/>
      <c r="E169" s="11"/>
      <c r="F169" s="11"/>
      <c r="H169" s="11">
        <f>IFERROR(INDEX(Таблица243[Жребий],MATCH(Список!A169,Таблица243[Подразделение],0)),"")</f>
        <v>11</v>
      </c>
      <c r="I169" s="62">
        <v>24167</v>
      </c>
    </row>
    <row r="170" spans="1:9" x14ac:dyDescent="0.3">
      <c r="A170" s="10" t="s">
        <v>172</v>
      </c>
      <c r="B170" s="10" t="s">
        <v>185</v>
      </c>
      <c r="C170" s="11" t="str">
        <f t="shared" si="2"/>
        <v>Ж</v>
      </c>
      <c r="D170" s="19"/>
      <c r="E170" s="11"/>
      <c r="F170" s="11"/>
      <c r="H170" s="11">
        <f>IFERROR(INDEX(Таблица243[Жребий],MATCH(Список!A170,Таблица243[Подразделение],0)),"")</f>
        <v>11</v>
      </c>
      <c r="I170" s="62">
        <v>23825</v>
      </c>
    </row>
    <row r="171" spans="1:9" x14ac:dyDescent="0.3">
      <c r="A171" s="10" t="s">
        <v>172</v>
      </c>
      <c r="B171" s="10" t="s">
        <v>186</v>
      </c>
      <c r="C171" s="11" t="str">
        <f t="shared" si="2"/>
        <v>Ж</v>
      </c>
      <c r="D171" s="19"/>
      <c r="E171" s="11" t="s">
        <v>12</v>
      </c>
      <c r="F171" s="11"/>
      <c r="H171" s="11">
        <f>IFERROR(INDEX(Таблица243[Жребий],MATCH(Список!A171,Таблица243[Подразделение],0)),"")</f>
        <v>11</v>
      </c>
      <c r="I171" s="62">
        <v>24903</v>
      </c>
    </row>
    <row r="172" spans="1:9" x14ac:dyDescent="0.3">
      <c r="A172" s="10" t="s">
        <v>172</v>
      </c>
      <c r="B172" s="10" t="s">
        <v>187</v>
      </c>
      <c r="C172" s="11" t="str">
        <f t="shared" si="2"/>
        <v>М</v>
      </c>
      <c r="D172" s="19"/>
      <c r="E172" s="11"/>
      <c r="F172" s="11"/>
      <c r="H172" s="11">
        <f>IFERROR(INDEX(Таблица243[Жребий],MATCH(Список!A172,Таблица243[Подразделение],0)),"")</f>
        <v>11</v>
      </c>
      <c r="I172" s="62">
        <v>28614</v>
      </c>
    </row>
    <row r="173" spans="1:9" x14ac:dyDescent="0.3">
      <c r="A173" s="10" t="s">
        <v>172</v>
      </c>
      <c r="B173" s="10" t="s">
        <v>188</v>
      </c>
      <c r="C173" s="11" t="str">
        <f t="shared" si="2"/>
        <v>М</v>
      </c>
      <c r="D173" s="19" t="s">
        <v>6</v>
      </c>
      <c r="E173" s="11"/>
      <c r="F173" s="11"/>
      <c r="H173" s="11">
        <f>IFERROR(INDEX(Таблица243[Жребий],MATCH(Список!A173,Таблица243[Подразделение],0)),"")</f>
        <v>11</v>
      </c>
      <c r="I173" s="62"/>
    </row>
    <row r="174" spans="1:9" x14ac:dyDescent="0.3">
      <c r="A174" s="10" t="s">
        <v>243</v>
      </c>
      <c r="B174" s="10" t="s">
        <v>244</v>
      </c>
      <c r="C174" s="11" t="str">
        <f t="shared" si="2"/>
        <v>Ж</v>
      </c>
      <c r="D174" s="19" t="s">
        <v>6</v>
      </c>
      <c r="E174" s="11"/>
      <c r="F174" s="11"/>
      <c r="H174" s="11">
        <f>IFERROR(INDEX(Таблица243[Жребий],MATCH(Список!A174,Таблица243[Подразделение],0)),"")</f>
        <v>1</v>
      </c>
      <c r="I174" s="62">
        <v>24983</v>
      </c>
    </row>
    <row r="175" spans="1:9" x14ac:dyDescent="0.3">
      <c r="A175" s="10" t="s">
        <v>243</v>
      </c>
      <c r="B175" s="10" t="s">
        <v>245</v>
      </c>
      <c r="C175" s="11" t="str">
        <f t="shared" si="2"/>
        <v>Ж</v>
      </c>
      <c r="D175" s="19"/>
      <c r="E175" s="11" t="s">
        <v>12</v>
      </c>
      <c r="F175" s="11"/>
      <c r="H175" s="11">
        <f>IFERROR(INDEX(Таблица243[Жребий],MATCH(Список!A175,Таблица243[Подразделение],0)),"")</f>
        <v>1</v>
      </c>
      <c r="I175" s="62">
        <v>30302</v>
      </c>
    </row>
    <row r="176" spans="1:9" x14ac:dyDescent="0.3">
      <c r="A176" s="10" t="s">
        <v>243</v>
      </c>
      <c r="B176" s="10" t="s">
        <v>246</v>
      </c>
      <c r="C176" s="11" t="str">
        <f t="shared" si="2"/>
        <v>М</v>
      </c>
      <c r="D176" s="19"/>
      <c r="E176" s="11"/>
      <c r="F176" s="11"/>
      <c r="H176" s="11">
        <f>IFERROR(INDEX(Таблица243[Жребий],MATCH(Список!A176,Таблица243[Подразделение],0)),"")</f>
        <v>1</v>
      </c>
      <c r="I176" s="62">
        <v>30739</v>
      </c>
    </row>
    <row r="177" spans="1:9" x14ac:dyDescent="0.3">
      <c r="A177" s="10" t="s">
        <v>243</v>
      </c>
      <c r="B177" s="10" t="s">
        <v>247</v>
      </c>
      <c r="C177" s="11" t="str">
        <f t="shared" si="2"/>
        <v>Ж</v>
      </c>
      <c r="D177" s="19" t="s">
        <v>6</v>
      </c>
      <c r="E177" s="11"/>
      <c r="F177" s="11"/>
      <c r="H177" s="11">
        <f>IFERROR(INDEX(Таблица243[Жребий],MATCH(Список!A177,Таблица243[Подразделение],0)),"")</f>
        <v>1</v>
      </c>
      <c r="I177" s="62">
        <v>29757</v>
      </c>
    </row>
    <row r="178" spans="1:9" x14ac:dyDescent="0.3">
      <c r="A178" s="10" t="s">
        <v>243</v>
      </c>
      <c r="B178" s="10" t="s">
        <v>248</v>
      </c>
      <c r="C178" s="11" t="str">
        <f t="shared" si="2"/>
        <v>М</v>
      </c>
      <c r="D178" s="19" t="s">
        <v>6</v>
      </c>
      <c r="E178" s="11"/>
      <c r="F178" s="11"/>
      <c r="H178" s="11">
        <f>IFERROR(INDEX(Таблица243[Жребий],MATCH(Список!A178,Таблица243[Подразделение],0)),"")</f>
        <v>1</v>
      </c>
      <c r="I178" s="62">
        <v>26668</v>
      </c>
    </row>
    <row r="179" spans="1:9" x14ac:dyDescent="0.3">
      <c r="A179" s="10" t="s">
        <v>243</v>
      </c>
      <c r="B179" s="10" t="s">
        <v>249</v>
      </c>
      <c r="C179" s="11" t="str">
        <f t="shared" si="2"/>
        <v>М</v>
      </c>
      <c r="D179" s="19"/>
      <c r="E179" s="11" t="s">
        <v>12</v>
      </c>
      <c r="F179" s="11"/>
      <c r="H179" s="11">
        <f>IFERROR(INDEX(Таблица243[Жребий],MATCH(Список!A179,Таблица243[Подразделение],0)),"")</f>
        <v>1</v>
      </c>
      <c r="I179" s="62">
        <v>32321</v>
      </c>
    </row>
    <row r="180" spans="1:9" x14ac:dyDescent="0.3">
      <c r="A180" s="10" t="s">
        <v>243</v>
      </c>
      <c r="B180" s="10" t="s">
        <v>250</v>
      </c>
      <c r="C180" s="11" t="str">
        <f t="shared" si="2"/>
        <v>Ж</v>
      </c>
      <c r="D180" s="19"/>
      <c r="E180" s="11"/>
      <c r="F180" s="11"/>
      <c r="H180" s="11">
        <f>IFERROR(INDEX(Таблица243[Жребий],MATCH(Список!A180,Таблица243[Подразделение],0)),"")</f>
        <v>1</v>
      </c>
      <c r="I180" s="62">
        <v>30179</v>
      </c>
    </row>
    <row r="181" spans="1:9" x14ac:dyDescent="0.3">
      <c r="A181" s="10" t="s">
        <v>243</v>
      </c>
      <c r="B181" s="10" t="s">
        <v>251</v>
      </c>
      <c r="C181" s="11" t="str">
        <f t="shared" si="2"/>
        <v>М</v>
      </c>
      <c r="D181" s="19"/>
      <c r="E181" s="11" t="s">
        <v>12</v>
      </c>
      <c r="F181" s="11"/>
      <c r="H181" s="11">
        <f>IFERROR(INDEX(Таблица243[Жребий],MATCH(Список!A181,Таблица243[Подразделение],0)),"")</f>
        <v>1</v>
      </c>
      <c r="I181" s="62">
        <v>29490</v>
      </c>
    </row>
    <row r="182" spans="1:9" x14ac:dyDescent="0.3">
      <c r="A182" s="10" t="s">
        <v>243</v>
      </c>
      <c r="B182" s="10" t="s">
        <v>252</v>
      </c>
      <c r="C182" s="11" t="str">
        <f t="shared" si="2"/>
        <v>Ж</v>
      </c>
      <c r="D182" s="19"/>
      <c r="E182" s="11"/>
      <c r="F182" s="11"/>
      <c r="H182" s="11">
        <f>IFERROR(INDEX(Таблица243[Жребий],MATCH(Список!A182,Таблица243[Подразделение],0)),"")</f>
        <v>1</v>
      </c>
      <c r="I182" s="62">
        <v>31963</v>
      </c>
    </row>
    <row r="183" spans="1:9" x14ac:dyDescent="0.3">
      <c r="A183" s="10" t="s">
        <v>243</v>
      </c>
      <c r="B183" s="10" t="s">
        <v>253</v>
      </c>
      <c r="C183" s="11" t="str">
        <f t="shared" si="2"/>
        <v>М</v>
      </c>
      <c r="D183" s="19"/>
      <c r="E183" s="11"/>
      <c r="F183" s="11"/>
      <c r="H183" s="11">
        <f>IFERROR(INDEX(Таблица243[Жребий],MATCH(Список!A183,Таблица243[Подразделение],0)),"")</f>
        <v>1</v>
      </c>
      <c r="I183" s="62">
        <v>27993</v>
      </c>
    </row>
    <row r="184" spans="1:9" x14ac:dyDescent="0.3">
      <c r="A184" s="10" t="s">
        <v>243</v>
      </c>
      <c r="B184" s="10" t="s">
        <v>254</v>
      </c>
      <c r="C184" s="11" t="str">
        <f t="shared" si="2"/>
        <v>Ж</v>
      </c>
      <c r="D184" s="19"/>
      <c r="E184" s="11"/>
      <c r="F184" s="11"/>
      <c r="H184" s="11">
        <f>IFERROR(INDEX(Таблица243[Жребий],MATCH(Список!A184,Таблица243[Подразделение],0)),"")</f>
        <v>1</v>
      </c>
      <c r="I184" s="62">
        <v>26864</v>
      </c>
    </row>
    <row r="185" spans="1:9" x14ac:dyDescent="0.3">
      <c r="A185" s="10" t="s">
        <v>243</v>
      </c>
      <c r="B185" s="10" t="s">
        <v>255</v>
      </c>
      <c r="C185" s="11" t="str">
        <f t="shared" si="2"/>
        <v>М</v>
      </c>
      <c r="D185" s="19"/>
      <c r="E185" s="11"/>
      <c r="F185" s="11"/>
      <c r="H185" s="11">
        <f>IFERROR(INDEX(Таблица243[Жребий],MATCH(Список!A185,Таблица243[Подразделение],0)),"")</f>
        <v>1</v>
      </c>
      <c r="I185" s="62">
        <v>30837</v>
      </c>
    </row>
    <row r="186" spans="1:9" x14ac:dyDescent="0.3">
      <c r="A186" s="10" t="s">
        <v>243</v>
      </c>
      <c r="B186" s="10" t="s">
        <v>256</v>
      </c>
      <c r="C186" s="11" t="str">
        <f t="shared" si="2"/>
        <v>М</v>
      </c>
      <c r="D186" s="19" t="s">
        <v>6</v>
      </c>
      <c r="E186" s="11"/>
      <c r="F186" s="11"/>
      <c r="H186" s="11">
        <f>IFERROR(INDEX(Таблица243[Жребий],MATCH(Список!A186,Таблица243[Подразделение],0)),"")</f>
        <v>1</v>
      </c>
      <c r="I186" s="62">
        <v>31323</v>
      </c>
    </row>
    <row r="187" spans="1:9" x14ac:dyDescent="0.3">
      <c r="A187" s="10" t="s">
        <v>243</v>
      </c>
      <c r="B187" s="10" t="s">
        <v>257</v>
      </c>
      <c r="C187" s="11" t="str">
        <f t="shared" si="2"/>
        <v>М</v>
      </c>
      <c r="D187" s="19"/>
      <c r="E187" s="11"/>
      <c r="F187" s="11" t="s">
        <v>200</v>
      </c>
      <c r="H187" s="11">
        <f>IFERROR(INDEX(Таблица243[Жребий],MATCH(Список!A187,Таблица243[Подразделение],0)),"")</f>
        <v>1</v>
      </c>
      <c r="I187" s="62">
        <v>21977</v>
      </c>
    </row>
    <row r="188" spans="1:9" x14ac:dyDescent="0.3">
      <c r="A188" s="10" t="s">
        <v>258</v>
      </c>
      <c r="B188" s="10" t="s">
        <v>259</v>
      </c>
      <c r="C188" s="11" t="str">
        <f t="shared" si="2"/>
        <v>М</v>
      </c>
      <c r="D188" s="19"/>
      <c r="E188" s="11" t="s">
        <v>12</v>
      </c>
      <c r="F188" s="11"/>
      <c r="H188" s="11">
        <f>IFERROR(INDEX(Таблица243[Жребий],MATCH(Список!A188,Таблица243[Подразделение],0)),"")</f>
        <v>9</v>
      </c>
      <c r="I188" s="62">
        <v>25750</v>
      </c>
    </row>
    <row r="189" spans="1:9" x14ac:dyDescent="0.3">
      <c r="A189" s="10" t="s">
        <v>258</v>
      </c>
      <c r="B189" s="10" t="s">
        <v>260</v>
      </c>
      <c r="C189" s="11" t="str">
        <f t="shared" si="2"/>
        <v>Ж</v>
      </c>
      <c r="D189" s="19"/>
      <c r="E189" s="11" t="s">
        <v>12</v>
      </c>
      <c r="F189" s="11"/>
      <c r="H189" s="11">
        <f>IFERROR(INDEX(Таблица243[Жребий],MATCH(Список!A189,Таблица243[Подразделение],0)),"")</f>
        <v>9</v>
      </c>
      <c r="I189" s="62">
        <v>30757</v>
      </c>
    </row>
    <row r="190" spans="1:9" x14ac:dyDescent="0.3">
      <c r="A190" s="10" t="s">
        <v>258</v>
      </c>
      <c r="B190" s="10" t="s">
        <v>261</v>
      </c>
      <c r="C190" s="11" t="str">
        <f t="shared" si="2"/>
        <v>Ж</v>
      </c>
      <c r="D190" s="19"/>
      <c r="E190" s="11"/>
      <c r="F190" s="11"/>
      <c r="H190" s="11">
        <f>IFERROR(INDEX(Таблица243[Жребий],MATCH(Список!A190,Таблица243[Подразделение],0)),"")</f>
        <v>9</v>
      </c>
      <c r="I190" s="62">
        <v>33412</v>
      </c>
    </row>
    <row r="191" spans="1:9" x14ac:dyDescent="0.3">
      <c r="A191" s="10" t="s">
        <v>258</v>
      </c>
      <c r="B191" s="10" t="s">
        <v>262</v>
      </c>
      <c r="C191" s="11" t="str">
        <f t="shared" si="2"/>
        <v>М</v>
      </c>
      <c r="D191" s="19" t="s">
        <v>6</v>
      </c>
      <c r="E191" s="11"/>
      <c r="F191" s="11"/>
      <c r="H191" s="11">
        <f>IFERROR(INDEX(Таблица243[Жребий],MATCH(Список!A191,Таблица243[Подразделение],0)),"")</f>
        <v>9</v>
      </c>
      <c r="I191" s="62">
        <v>33193</v>
      </c>
    </row>
    <row r="192" spans="1:9" x14ac:dyDescent="0.3">
      <c r="A192" s="10" t="s">
        <v>258</v>
      </c>
      <c r="B192" s="10" t="s">
        <v>263</v>
      </c>
      <c r="C192" s="11" t="str">
        <f t="shared" si="2"/>
        <v>Ж</v>
      </c>
      <c r="D192" s="19"/>
      <c r="E192" s="11"/>
      <c r="F192" s="11"/>
      <c r="H192" s="11">
        <f>IFERROR(INDEX(Таблица243[Жребий],MATCH(Список!A192,Таблица243[Подразделение],0)),"")</f>
        <v>9</v>
      </c>
      <c r="I192" s="62">
        <v>31600</v>
      </c>
    </row>
    <row r="193" spans="1:9" x14ac:dyDescent="0.3">
      <c r="A193" s="10" t="s">
        <v>258</v>
      </c>
      <c r="B193" s="10" t="s">
        <v>264</v>
      </c>
      <c r="C193" s="11" t="str">
        <f t="shared" si="2"/>
        <v>М</v>
      </c>
      <c r="D193" s="19" t="s">
        <v>6</v>
      </c>
      <c r="E193" s="11"/>
      <c r="F193" s="11"/>
      <c r="H193" s="11">
        <f>IFERROR(INDEX(Таблица243[Жребий],MATCH(Список!A193,Таблица243[Подразделение],0)),"")</f>
        <v>9</v>
      </c>
      <c r="I193" s="62">
        <v>29515</v>
      </c>
    </row>
    <row r="194" spans="1:9" x14ac:dyDescent="0.3">
      <c r="A194" s="10" t="s">
        <v>258</v>
      </c>
      <c r="B194" s="10" t="s">
        <v>265</v>
      </c>
      <c r="C194" s="11" t="str">
        <f t="shared" si="2"/>
        <v>М</v>
      </c>
      <c r="D194" s="19" t="s">
        <v>6</v>
      </c>
      <c r="E194" s="11"/>
      <c r="F194" s="11"/>
      <c r="H194" s="11">
        <f>IFERROR(INDEX(Таблица243[Жребий],MATCH(Список!A194,Таблица243[Подразделение],0)),"")</f>
        <v>9</v>
      </c>
      <c r="I194" s="62">
        <v>33680</v>
      </c>
    </row>
    <row r="195" spans="1:9" x14ac:dyDescent="0.3">
      <c r="A195" s="10" t="s">
        <v>258</v>
      </c>
      <c r="B195" s="10" t="s">
        <v>266</v>
      </c>
      <c r="C195" s="11" t="str">
        <f t="shared" ref="C195:C217" si="3">IF(RIGHT(B195)="ч","М",IF(RIGHT(B195)="а","Ж",IF(RIGHT(B195)=".","---"," ")))</f>
        <v>Ж</v>
      </c>
      <c r="D195" s="19"/>
      <c r="E195" s="11"/>
      <c r="F195" s="11" t="s">
        <v>200</v>
      </c>
      <c r="H195" s="11">
        <f>IFERROR(INDEX(Таблица243[Жребий],MATCH(Список!A195,Таблица243[Подразделение],0)),"")</f>
        <v>9</v>
      </c>
      <c r="I195" s="62">
        <v>34237</v>
      </c>
    </row>
    <row r="196" spans="1:9" x14ac:dyDescent="0.3">
      <c r="A196" s="10" t="s">
        <v>258</v>
      </c>
      <c r="B196" s="10" t="s">
        <v>267</v>
      </c>
      <c r="C196" s="11" t="str">
        <f t="shared" si="3"/>
        <v>Ж</v>
      </c>
      <c r="D196" s="19"/>
      <c r="E196" s="11"/>
      <c r="F196" s="11"/>
      <c r="H196" s="11">
        <f>IFERROR(INDEX(Таблица243[Жребий],MATCH(Список!A196,Таблица243[Подразделение],0)),"")</f>
        <v>9</v>
      </c>
      <c r="I196" s="62">
        <v>34539</v>
      </c>
    </row>
    <row r="197" spans="1:9" x14ac:dyDescent="0.3">
      <c r="A197" s="10" t="s">
        <v>258</v>
      </c>
      <c r="B197" s="10" t="s">
        <v>268</v>
      </c>
      <c r="C197" s="11" t="str">
        <f t="shared" si="3"/>
        <v>Ж</v>
      </c>
      <c r="D197" s="19"/>
      <c r="E197" s="11"/>
      <c r="F197" s="11"/>
      <c r="H197" s="11">
        <f>IFERROR(INDEX(Таблица243[Жребий],MATCH(Список!A197,Таблица243[Подразделение],0)),"")</f>
        <v>9</v>
      </c>
      <c r="I197" s="62">
        <v>31367</v>
      </c>
    </row>
    <row r="198" spans="1:9" x14ac:dyDescent="0.3">
      <c r="A198" s="10" t="s">
        <v>258</v>
      </c>
      <c r="B198" s="10" t="s">
        <v>269</v>
      </c>
      <c r="C198" s="11" t="str">
        <f t="shared" si="3"/>
        <v>Ж</v>
      </c>
      <c r="D198" s="19"/>
      <c r="E198" s="11"/>
      <c r="F198" s="11"/>
      <c r="H198" s="11">
        <f>IFERROR(INDEX(Таблица243[Жребий],MATCH(Список!A198,Таблица243[Подразделение],0)),"")</f>
        <v>9</v>
      </c>
      <c r="I198" s="62">
        <v>33560</v>
      </c>
    </row>
    <row r="199" spans="1:9" x14ac:dyDescent="0.3">
      <c r="A199" s="10" t="s">
        <v>258</v>
      </c>
      <c r="B199" s="10" t="s">
        <v>270</v>
      </c>
      <c r="C199" s="11" t="str">
        <f t="shared" si="3"/>
        <v>Ж</v>
      </c>
      <c r="D199" s="19"/>
      <c r="E199" s="11" t="s">
        <v>12</v>
      </c>
      <c r="F199" s="11"/>
      <c r="H199" s="11">
        <f>IFERROR(INDEX(Таблица243[Жребий],MATCH(Список!A199,Таблица243[Подразделение],0)),"")</f>
        <v>9</v>
      </c>
      <c r="I199" s="62">
        <v>32087</v>
      </c>
    </row>
    <row r="200" spans="1:9" x14ac:dyDescent="0.3">
      <c r="A200" s="10" t="s">
        <v>258</v>
      </c>
      <c r="B200" s="10" t="s">
        <v>271</v>
      </c>
      <c r="C200" s="11" t="str">
        <f t="shared" si="3"/>
        <v>Ж</v>
      </c>
      <c r="D200" s="19"/>
      <c r="E200" s="11"/>
      <c r="F200" s="11"/>
      <c r="H200" s="11">
        <f>IFERROR(INDEX(Таблица243[Жребий],MATCH(Список!A200,Таблица243[Подразделение],0)),"")</f>
        <v>9</v>
      </c>
      <c r="I200" s="62">
        <v>30176</v>
      </c>
    </row>
    <row r="201" spans="1:9" x14ac:dyDescent="0.3">
      <c r="A201" s="10" t="s">
        <v>258</v>
      </c>
      <c r="B201" s="10" t="s">
        <v>272</v>
      </c>
      <c r="C201" s="11" t="str">
        <f t="shared" si="3"/>
        <v>М</v>
      </c>
      <c r="D201" s="19"/>
      <c r="E201" s="11"/>
      <c r="F201" s="11"/>
      <c r="H201" s="11">
        <f>IFERROR(INDEX(Таблица243[Жребий],MATCH(Список!A201,Таблица243[Подразделение],0)),"")</f>
        <v>9</v>
      </c>
      <c r="I201" s="62">
        <v>33618</v>
      </c>
    </row>
    <row r="202" spans="1:9" x14ac:dyDescent="0.3">
      <c r="A202" s="10" t="s">
        <v>258</v>
      </c>
      <c r="B202" s="10" t="s">
        <v>273</v>
      </c>
      <c r="C202" s="11" t="str">
        <f t="shared" si="3"/>
        <v>Ж</v>
      </c>
      <c r="D202" s="19" t="s">
        <v>6</v>
      </c>
      <c r="E202" s="11"/>
      <c r="F202" s="11"/>
      <c r="H202" s="11">
        <f>IFERROR(INDEX(Таблица243[Жребий],MATCH(Список!A202,Таблица243[Подразделение],0)),"")</f>
        <v>9</v>
      </c>
      <c r="I202" s="62">
        <v>23014</v>
      </c>
    </row>
    <row r="203" spans="1:9" x14ac:dyDescent="0.3">
      <c r="A203" s="10" t="s">
        <v>274</v>
      </c>
      <c r="B203" s="10" t="s">
        <v>275</v>
      </c>
      <c r="C203" s="11" t="str">
        <f t="shared" si="3"/>
        <v>М</v>
      </c>
      <c r="D203" s="19"/>
      <c r="E203" s="11"/>
      <c r="F203" s="11"/>
      <c r="H203" s="11">
        <f>IFERROR(INDEX(Таблица243[Жребий],MATCH(Список!A203,Таблица243[Подразделение],0)),"")</f>
        <v>10</v>
      </c>
      <c r="I203" s="62">
        <v>29362</v>
      </c>
    </row>
    <row r="204" spans="1:9" x14ac:dyDescent="0.3">
      <c r="A204" s="10" t="s">
        <v>274</v>
      </c>
      <c r="B204" s="10" t="s">
        <v>276</v>
      </c>
      <c r="C204" s="11" t="str">
        <f t="shared" si="3"/>
        <v>М</v>
      </c>
      <c r="D204" s="19" t="s">
        <v>6</v>
      </c>
      <c r="E204" s="11"/>
      <c r="F204" s="11"/>
      <c r="H204" s="11">
        <f>IFERROR(INDEX(Таблица243[Жребий],MATCH(Список!A204,Таблица243[Подразделение],0)),"")</f>
        <v>10</v>
      </c>
      <c r="I204" s="62">
        <v>34547</v>
      </c>
    </row>
    <row r="205" spans="1:9" x14ac:dyDescent="0.3">
      <c r="A205" s="10" t="s">
        <v>274</v>
      </c>
      <c r="B205" s="10" t="s">
        <v>277</v>
      </c>
      <c r="C205" s="11" t="str">
        <f t="shared" si="3"/>
        <v>М</v>
      </c>
      <c r="D205" s="19"/>
      <c r="E205" s="11" t="s">
        <v>12</v>
      </c>
      <c r="F205" s="11"/>
      <c r="H205" s="11">
        <f>IFERROR(INDEX(Таблица243[Жребий],MATCH(Список!A205,Таблица243[Подразделение],0)),"")</f>
        <v>10</v>
      </c>
      <c r="I205" s="62">
        <v>29108</v>
      </c>
    </row>
    <row r="206" spans="1:9" x14ac:dyDescent="0.3">
      <c r="A206" s="10" t="s">
        <v>274</v>
      </c>
      <c r="B206" s="10" t="s">
        <v>278</v>
      </c>
      <c r="C206" s="11" t="str">
        <f t="shared" si="3"/>
        <v>М</v>
      </c>
      <c r="D206" s="19"/>
      <c r="E206" s="11" t="s">
        <v>12</v>
      </c>
      <c r="F206" s="11"/>
      <c r="H206" s="11">
        <f>IFERROR(INDEX(Таблица243[Жребий],MATCH(Список!A206,Таблица243[Подразделение],0)),"")</f>
        <v>10</v>
      </c>
      <c r="I206" s="62">
        <v>35384</v>
      </c>
    </row>
    <row r="207" spans="1:9" x14ac:dyDescent="0.3">
      <c r="A207" s="10" t="s">
        <v>274</v>
      </c>
      <c r="B207" s="10" t="s">
        <v>279</v>
      </c>
      <c r="C207" s="11" t="str">
        <f t="shared" si="3"/>
        <v>М</v>
      </c>
      <c r="D207" s="19"/>
      <c r="E207" s="11" t="s">
        <v>12</v>
      </c>
      <c r="F207" s="11"/>
      <c r="H207" s="11">
        <f>IFERROR(INDEX(Таблица243[Жребий],MATCH(Список!A207,Таблица243[Подразделение],0)),"")</f>
        <v>10</v>
      </c>
      <c r="I207" s="62">
        <v>28341</v>
      </c>
    </row>
    <row r="208" spans="1:9" x14ac:dyDescent="0.3">
      <c r="A208" s="10" t="s">
        <v>274</v>
      </c>
      <c r="B208" s="10" t="s">
        <v>280</v>
      </c>
      <c r="C208" s="11" t="str">
        <f t="shared" si="3"/>
        <v>М</v>
      </c>
      <c r="D208" s="19" t="s">
        <v>6</v>
      </c>
      <c r="E208" s="11"/>
      <c r="F208" s="11" t="s">
        <v>200</v>
      </c>
      <c r="H208" s="11">
        <f>IFERROR(INDEX(Таблица243[Жребий],MATCH(Список!A208,Таблица243[Подразделение],0)),"")</f>
        <v>10</v>
      </c>
      <c r="I208" s="62">
        <v>25584</v>
      </c>
    </row>
    <row r="209" spans="1:9" x14ac:dyDescent="0.3">
      <c r="A209" s="10" t="s">
        <v>274</v>
      </c>
      <c r="B209" s="10" t="s">
        <v>281</v>
      </c>
      <c r="C209" s="11" t="str">
        <f t="shared" si="3"/>
        <v>М</v>
      </c>
      <c r="D209" s="19"/>
      <c r="E209" s="11"/>
      <c r="F209" s="11"/>
      <c r="H209" s="11">
        <f>IFERROR(INDEX(Таблица243[Жребий],MATCH(Список!A209,Таблица243[Подразделение],0)),"")</f>
        <v>10</v>
      </c>
      <c r="I209" s="62">
        <v>28390</v>
      </c>
    </row>
    <row r="210" spans="1:9" x14ac:dyDescent="0.3">
      <c r="A210" s="10" t="s">
        <v>274</v>
      </c>
      <c r="B210" s="10" t="s">
        <v>282</v>
      </c>
      <c r="C210" s="11" t="str">
        <f t="shared" si="3"/>
        <v>Ж</v>
      </c>
      <c r="D210" s="19"/>
      <c r="E210" s="11"/>
      <c r="F210" s="11"/>
      <c r="H210" s="11">
        <f>IFERROR(INDEX(Таблица243[Жребий],MATCH(Список!A210,Таблица243[Подразделение],0)),"")</f>
        <v>10</v>
      </c>
      <c r="I210" s="62">
        <v>26135</v>
      </c>
    </row>
    <row r="211" spans="1:9" x14ac:dyDescent="0.3">
      <c r="A211" s="10" t="s">
        <v>274</v>
      </c>
      <c r="B211" s="10" t="s">
        <v>283</v>
      </c>
      <c r="C211" s="11" t="str">
        <f t="shared" si="3"/>
        <v>М</v>
      </c>
      <c r="D211" s="19" t="s">
        <v>6</v>
      </c>
      <c r="E211" s="11"/>
      <c r="F211" s="11"/>
      <c r="H211" s="11">
        <f>IFERROR(INDEX(Таблица243[Жребий],MATCH(Список!A211,Таблица243[Подразделение],0)),"")</f>
        <v>10</v>
      </c>
      <c r="I211" s="62">
        <v>28310</v>
      </c>
    </row>
    <row r="212" spans="1:9" x14ac:dyDescent="0.3">
      <c r="A212" s="10" t="s">
        <v>274</v>
      </c>
      <c r="B212" s="10" t="s">
        <v>284</v>
      </c>
      <c r="C212" s="11" t="str">
        <f t="shared" si="3"/>
        <v>Ж</v>
      </c>
      <c r="D212" s="19" t="s">
        <v>6</v>
      </c>
      <c r="E212" s="11"/>
      <c r="F212" s="11"/>
      <c r="H212" s="11">
        <f>IFERROR(INDEX(Таблица243[Жребий],MATCH(Список!A212,Таблица243[Подразделение],0)),"")</f>
        <v>10</v>
      </c>
      <c r="I212" s="62">
        <v>23995</v>
      </c>
    </row>
    <row r="213" spans="1:9" x14ac:dyDescent="0.3">
      <c r="A213" s="10" t="s">
        <v>274</v>
      </c>
      <c r="B213" s="10" t="s">
        <v>285</v>
      </c>
      <c r="C213" s="11" t="str">
        <f t="shared" si="3"/>
        <v>М</v>
      </c>
      <c r="D213" s="19"/>
      <c r="E213" s="11"/>
      <c r="F213" s="11"/>
      <c r="H213" s="11">
        <f>IFERROR(INDEX(Таблица243[Жребий],MATCH(Список!A213,Таблица243[Подразделение],0)),"")</f>
        <v>10</v>
      </c>
      <c r="I213" s="62">
        <v>29760</v>
      </c>
    </row>
    <row r="214" spans="1:9" x14ac:dyDescent="0.3">
      <c r="A214" s="10" t="s">
        <v>274</v>
      </c>
      <c r="B214" s="10" t="s">
        <v>286</v>
      </c>
      <c r="C214" s="11" t="str">
        <f t="shared" si="3"/>
        <v>М</v>
      </c>
      <c r="D214" s="19"/>
      <c r="E214" s="11"/>
      <c r="F214" s="11"/>
      <c r="H214" s="11">
        <f>IFERROR(INDEX(Таблица243[Жребий],MATCH(Список!A214,Таблица243[Подразделение],0)),"")</f>
        <v>10</v>
      </c>
      <c r="I214" s="62">
        <v>26869</v>
      </c>
    </row>
    <row r="215" spans="1:9" x14ac:dyDescent="0.3">
      <c r="A215" s="10" t="s">
        <v>274</v>
      </c>
      <c r="B215" s="10" t="s">
        <v>287</v>
      </c>
      <c r="C215" s="11" t="str">
        <f t="shared" si="3"/>
        <v>Ж</v>
      </c>
      <c r="D215" s="19"/>
      <c r="E215" s="11"/>
      <c r="F215" s="11"/>
      <c r="H215" s="11">
        <f>IFERROR(INDEX(Таблица243[Жребий],MATCH(Список!A215,Таблица243[Подразделение],0)),"")</f>
        <v>10</v>
      </c>
      <c r="I215" s="62">
        <v>23139</v>
      </c>
    </row>
    <row r="216" spans="1:9" x14ac:dyDescent="0.3">
      <c r="A216" s="10" t="s">
        <v>274</v>
      </c>
      <c r="B216" s="10" t="s">
        <v>288</v>
      </c>
      <c r="C216" s="11" t="str">
        <f t="shared" si="3"/>
        <v>М</v>
      </c>
      <c r="D216" s="19"/>
      <c r="E216" s="11"/>
      <c r="F216" s="11"/>
      <c r="H216" s="11">
        <f>IFERROR(INDEX(Таблица243[Жребий],MATCH(Список!A216,Таблица243[Подразделение],0)),"")</f>
        <v>10</v>
      </c>
      <c r="I216" s="62">
        <v>22026</v>
      </c>
    </row>
    <row r="217" spans="1:9" x14ac:dyDescent="0.3">
      <c r="A217" s="10" t="s">
        <v>274</v>
      </c>
      <c r="B217" s="10" t="s">
        <v>289</v>
      </c>
      <c r="C217" s="11" t="str">
        <f t="shared" si="3"/>
        <v>М</v>
      </c>
      <c r="D217" s="19"/>
      <c r="E217" s="11"/>
      <c r="F217" s="11"/>
      <c r="H217" s="11">
        <f>IFERROR(INDEX(Таблица243[Жребий],MATCH(Список!A217,Таблица243[Подразделение],0)),"")</f>
        <v>10</v>
      </c>
      <c r="I217" s="62">
        <v>19114</v>
      </c>
    </row>
    <row r="218" spans="1:9" x14ac:dyDescent="0.3">
      <c r="C218" s="11"/>
      <c r="D218" s="19"/>
      <c r="E218" s="11"/>
      <c r="F218" s="11"/>
      <c r="H218" s="11"/>
      <c r="I218" s="62"/>
    </row>
    <row r="219" spans="1:9" x14ac:dyDescent="0.3">
      <c r="C219" s="11"/>
      <c r="D219" s="19"/>
      <c r="E219" s="11"/>
      <c r="F219" s="11"/>
      <c r="H219" s="11"/>
      <c r="I219" s="62"/>
    </row>
    <row r="220" spans="1:9" x14ac:dyDescent="0.3">
      <c r="C220" s="11"/>
      <c r="D220" s="19"/>
      <c r="E220" s="11"/>
      <c r="F220" s="11"/>
      <c r="H220" s="11"/>
      <c r="I220" s="62"/>
    </row>
    <row r="221" spans="1:9" x14ac:dyDescent="0.3">
      <c r="C221" s="11"/>
      <c r="D221" s="19"/>
      <c r="E221" s="11"/>
      <c r="F221" s="11"/>
      <c r="H221" s="11"/>
      <c r="I221" s="62"/>
    </row>
    <row r="222" spans="1:9" x14ac:dyDescent="0.3">
      <c r="C222" s="11"/>
      <c r="D222" s="19"/>
      <c r="E222" s="11"/>
      <c r="F222" s="11"/>
      <c r="H222" s="11"/>
      <c r="I222" s="62"/>
    </row>
    <row r="223" spans="1:9" x14ac:dyDescent="0.3">
      <c r="C223" s="11"/>
      <c r="D223" s="19"/>
      <c r="E223" s="11"/>
      <c r="F223" s="11"/>
      <c r="H223" s="11"/>
      <c r="I223" s="62"/>
    </row>
    <row r="224" spans="1:9" x14ac:dyDescent="0.3">
      <c r="C224" s="11"/>
      <c r="D224" s="19"/>
      <c r="E224" s="11"/>
      <c r="F224" s="11"/>
      <c r="H224" s="11"/>
      <c r="I224" s="62"/>
    </row>
    <row r="225" spans="3:9" x14ac:dyDescent="0.3">
      <c r="C225" s="11"/>
      <c r="D225" s="19"/>
      <c r="E225" s="11"/>
      <c r="F225" s="11"/>
      <c r="H225" s="11"/>
      <c r="I225" s="62"/>
    </row>
    <row r="226" spans="3:9" x14ac:dyDescent="0.3">
      <c r="C226" s="11"/>
      <c r="D226" s="19"/>
      <c r="E226" s="11"/>
      <c r="F226" s="11"/>
      <c r="H226" s="11"/>
      <c r="I226" s="62"/>
    </row>
    <row r="227" spans="3:9" x14ac:dyDescent="0.3">
      <c r="C227" s="11"/>
      <c r="D227" s="19"/>
      <c r="E227" s="11"/>
      <c r="F227" s="11"/>
      <c r="H227" s="11"/>
      <c r="I227" s="62"/>
    </row>
    <row r="228" spans="3:9" x14ac:dyDescent="0.3">
      <c r="C228" s="11"/>
      <c r="D228" s="19"/>
      <c r="E228" s="11"/>
      <c r="F228" s="11"/>
      <c r="H228" s="11"/>
      <c r="I228" s="62"/>
    </row>
    <row r="229" spans="3:9" x14ac:dyDescent="0.3">
      <c r="C229" s="11"/>
      <c r="D229" s="19"/>
      <c r="E229" s="11"/>
      <c r="F229" s="11"/>
      <c r="H229" s="11"/>
      <c r="I229" s="62"/>
    </row>
  </sheetData>
  <autoFilter ref="A1:I217"/>
  <pageMargins left="0.7" right="0.7" top="0.75" bottom="0.75" header="0.3" footer="0.3"/>
  <pageSetup paperSize="25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I10" sqref="I10"/>
    </sheetView>
  </sheetViews>
  <sheetFormatPr defaultRowHeight="15.75" x14ac:dyDescent="0.25"/>
  <cols>
    <col min="1" max="1" width="9.140625" style="1"/>
    <col min="2" max="2" width="14.140625" style="1" bestFit="1" customWidth="1"/>
    <col min="3" max="3" width="38.28515625" style="1" bestFit="1" customWidth="1"/>
    <col min="4" max="4" width="12.5703125" style="4" bestFit="1" customWidth="1"/>
    <col min="5" max="5" width="7.7109375" style="4" bestFit="1" customWidth="1"/>
    <col min="6" max="6" width="9.140625" style="1"/>
    <col min="7" max="7" width="14.140625" style="1" bestFit="1" customWidth="1"/>
    <col min="8" max="8" width="39.5703125" style="1" bestFit="1" customWidth="1"/>
    <col min="9" max="9" width="12.5703125" style="1" bestFit="1" customWidth="1"/>
    <col min="10" max="10" width="7.7109375" style="1" bestFit="1" customWidth="1"/>
    <col min="11" max="16384" width="9.140625" style="1"/>
  </cols>
  <sheetData>
    <row r="1" spans="1:10" s="4" customFormat="1" ht="30.75" customHeight="1" x14ac:dyDescent="0.25">
      <c r="A1" s="3" t="s">
        <v>290</v>
      </c>
      <c r="B1" s="3" t="s">
        <v>191</v>
      </c>
      <c r="C1" s="3" t="s">
        <v>192</v>
      </c>
      <c r="D1" s="3" t="s">
        <v>193</v>
      </c>
      <c r="E1" s="3" t="s">
        <v>206</v>
      </c>
      <c r="G1" s="3" t="s">
        <v>191</v>
      </c>
      <c r="H1" s="3" t="s">
        <v>192</v>
      </c>
      <c r="I1" s="3" t="s">
        <v>193</v>
      </c>
      <c r="J1" s="3" t="s">
        <v>206</v>
      </c>
    </row>
    <row r="2" spans="1:10" ht="18.75" x14ac:dyDescent="0.3">
      <c r="A2" s="2">
        <v>1</v>
      </c>
      <c r="B2" s="128" t="s">
        <v>4</v>
      </c>
      <c r="C2" s="7" t="s">
        <v>10</v>
      </c>
      <c r="D2" s="3" t="s">
        <v>202</v>
      </c>
      <c r="E2" s="3">
        <v>1</v>
      </c>
      <c r="G2" s="7" t="s">
        <v>40</v>
      </c>
      <c r="H2" s="7" t="s">
        <v>52</v>
      </c>
      <c r="I2" s="3" t="s">
        <v>203</v>
      </c>
      <c r="J2" s="2">
        <v>1</v>
      </c>
    </row>
    <row r="3" spans="1:10" ht="18.75" x14ac:dyDescent="0.3">
      <c r="A3" s="2">
        <v>5</v>
      </c>
      <c r="B3" s="7" t="s">
        <v>23</v>
      </c>
      <c r="C3" s="7" t="s">
        <v>24</v>
      </c>
      <c r="D3" s="3" t="s">
        <v>202</v>
      </c>
      <c r="E3" s="3">
        <v>2</v>
      </c>
      <c r="G3" s="7" t="s">
        <v>59</v>
      </c>
      <c r="H3" s="7" t="s">
        <v>205</v>
      </c>
      <c r="I3" s="3" t="s">
        <v>203</v>
      </c>
      <c r="J3" s="2">
        <v>2</v>
      </c>
    </row>
    <row r="4" spans="1:10" ht="18.75" x14ac:dyDescent="0.3">
      <c r="A4" s="2">
        <v>9</v>
      </c>
      <c r="B4" s="7" t="s">
        <v>40</v>
      </c>
      <c r="C4" s="7" t="s">
        <v>46</v>
      </c>
      <c r="D4" s="3" t="s">
        <v>202</v>
      </c>
      <c r="E4" s="3">
        <v>3</v>
      </c>
      <c r="G4" s="7" t="s">
        <v>74</v>
      </c>
      <c r="H4" s="7" t="s">
        <v>75</v>
      </c>
      <c r="I4" s="3" t="s">
        <v>203</v>
      </c>
      <c r="J4" s="2">
        <v>3</v>
      </c>
    </row>
    <row r="5" spans="1:10" ht="18.75" x14ac:dyDescent="0.3">
      <c r="A5" s="2">
        <v>12</v>
      </c>
      <c r="B5" s="7" t="s">
        <v>59</v>
      </c>
      <c r="C5" s="7" t="s">
        <v>61</v>
      </c>
      <c r="D5" s="3" t="s">
        <v>202</v>
      </c>
      <c r="E5" s="3">
        <v>4</v>
      </c>
      <c r="G5" s="7" t="s">
        <v>120</v>
      </c>
      <c r="H5" s="7" t="s">
        <v>126</v>
      </c>
      <c r="I5" s="3" t="s">
        <v>203</v>
      </c>
      <c r="J5" s="2">
        <v>4</v>
      </c>
    </row>
    <row r="6" spans="1:10" ht="18.75" x14ac:dyDescent="0.3">
      <c r="A6" s="2">
        <v>15</v>
      </c>
      <c r="B6" s="7" t="s">
        <v>74</v>
      </c>
      <c r="C6" s="7" t="s">
        <v>77</v>
      </c>
      <c r="D6" s="3" t="s">
        <v>202</v>
      </c>
      <c r="E6" s="3">
        <v>5</v>
      </c>
      <c r="G6" s="7" t="s">
        <v>136</v>
      </c>
      <c r="H6" s="7" t="s">
        <v>141</v>
      </c>
      <c r="I6" s="3" t="s">
        <v>203</v>
      </c>
      <c r="J6" s="2">
        <v>5</v>
      </c>
    </row>
    <row r="7" spans="1:10" ht="18.75" x14ac:dyDescent="0.3">
      <c r="A7" s="2">
        <v>17</v>
      </c>
      <c r="B7" s="7" t="s">
        <v>88</v>
      </c>
      <c r="C7" s="7" t="s">
        <v>93</v>
      </c>
      <c r="D7" s="3" t="s">
        <v>202</v>
      </c>
      <c r="E7" s="3">
        <v>6</v>
      </c>
      <c r="G7" s="7" t="s">
        <v>153</v>
      </c>
      <c r="H7" s="7" t="s">
        <v>161</v>
      </c>
      <c r="I7" s="3" t="s">
        <v>203</v>
      </c>
      <c r="J7" s="2">
        <v>6</v>
      </c>
    </row>
    <row r="8" spans="1:10" ht="18.75" x14ac:dyDescent="0.3">
      <c r="A8" s="2">
        <v>21</v>
      </c>
      <c r="B8" s="7" t="s">
        <v>103</v>
      </c>
      <c r="C8" s="7" t="s">
        <v>108</v>
      </c>
      <c r="D8" s="3" t="s">
        <v>202</v>
      </c>
      <c r="E8" s="3">
        <v>7</v>
      </c>
      <c r="G8" s="7" t="s">
        <v>172</v>
      </c>
      <c r="H8" s="7" t="s">
        <v>186</v>
      </c>
      <c r="I8" s="3" t="s">
        <v>203</v>
      </c>
      <c r="J8" s="2">
        <v>7</v>
      </c>
    </row>
    <row r="9" spans="1:10" ht="18.75" x14ac:dyDescent="0.3">
      <c r="A9" s="2">
        <v>25</v>
      </c>
      <c r="B9" s="7" t="s">
        <v>120</v>
      </c>
      <c r="C9" s="7" t="s">
        <v>125</v>
      </c>
      <c r="D9" s="3" t="s">
        <v>202</v>
      </c>
      <c r="E9" s="3">
        <v>8</v>
      </c>
      <c r="G9" s="7" t="s">
        <v>74</v>
      </c>
      <c r="H9" s="7" t="s">
        <v>76</v>
      </c>
      <c r="I9" s="3" t="s">
        <v>203</v>
      </c>
      <c r="J9" s="2">
        <v>8</v>
      </c>
    </row>
    <row r="10" spans="1:10" ht="18.75" x14ac:dyDescent="0.3">
      <c r="A10" s="2">
        <v>26</v>
      </c>
      <c r="B10" s="7" t="s">
        <v>136</v>
      </c>
      <c r="C10" s="7" t="s">
        <v>137</v>
      </c>
      <c r="D10" s="3" t="s">
        <v>202</v>
      </c>
      <c r="E10" s="3">
        <v>9</v>
      </c>
      <c r="G10" s="7" t="s">
        <v>120</v>
      </c>
      <c r="H10" s="7" t="s">
        <v>127</v>
      </c>
      <c r="I10" s="3" t="s">
        <v>203</v>
      </c>
      <c r="J10" s="2">
        <v>9</v>
      </c>
    </row>
    <row r="11" spans="1:10" ht="18.75" x14ac:dyDescent="0.3">
      <c r="A11" s="2">
        <v>29</v>
      </c>
      <c r="B11" s="7" t="s">
        <v>153</v>
      </c>
      <c r="C11" s="7" t="s">
        <v>156</v>
      </c>
      <c r="D11" s="3" t="s">
        <v>202</v>
      </c>
      <c r="E11" s="3">
        <v>10</v>
      </c>
      <c r="G11" s="7" t="s">
        <v>153</v>
      </c>
      <c r="H11" s="7" t="s">
        <v>162</v>
      </c>
      <c r="I11" s="3" t="s">
        <v>203</v>
      </c>
      <c r="J11" s="2">
        <v>10</v>
      </c>
    </row>
    <row r="12" spans="1:10" ht="18.75" x14ac:dyDescent="0.3">
      <c r="A12" s="2">
        <v>30</v>
      </c>
      <c r="B12" s="7" t="s">
        <v>172</v>
      </c>
      <c r="C12" s="7" t="s">
        <v>178</v>
      </c>
      <c r="D12" s="3" t="s">
        <v>202</v>
      </c>
      <c r="E12" s="3">
        <v>11</v>
      </c>
      <c r="G12" s="7" t="s">
        <v>120</v>
      </c>
      <c r="H12" s="7" t="s">
        <v>128</v>
      </c>
      <c r="I12" s="3" t="s">
        <v>203</v>
      </c>
      <c r="J12" s="2">
        <v>11</v>
      </c>
    </row>
    <row r="13" spans="1:10" ht="18.75" x14ac:dyDescent="0.3">
      <c r="A13" s="2">
        <v>2</v>
      </c>
      <c r="B13" s="128" t="s">
        <v>4</v>
      </c>
      <c r="C13" s="7" t="s">
        <v>11</v>
      </c>
      <c r="D13" s="3" t="s">
        <v>202</v>
      </c>
      <c r="E13" s="3">
        <v>12</v>
      </c>
      <c r="G13" s="7" t="s">
        <v>153</v>
      </c>
      <c r="H13" s="7" t="s">
        <v>164</v>
      </c>
      <c r="I13" s="3" t="s">
        <v>203</v>
      </c>
      <c r="J13" s="2">
        <v>12</v>
      </c>
    </row>
    <row r="14" spans="1:10" ht="18.75" x14ac:dyDescent="0.3">
      <c r="A14" s="2">
        <v>6</v>
      </c>
      <c r="B14" s="7" t="s">
        <v>23</v>
      </c>
      <c r="C14" s="7" t="s">
        <v>26</v>
      </c>
      <c r="D14" s="3" t="s">
        <v>202</v>
      </c>
      <c r="E14" s="3">
        <v>13</v>
      </c>
      <c r="G14" s="7" t="s">
        <v>243</v>
      </c>
      <c r="H14" s="7" t="s">
        <v>245</v>
      </c>
      <c r="I14" s="3" t="s">
        <v>203</v>
      </c>
      <c r="J14" s="2">
        <v>13</v>
      </c>
    </row>
    <row r="15" spans="1:10" ht="18.75" x14ac:dyDescent="0.3">
      <c r="A15" s="2">
        <v>10</v>
      </c>
      <c r="B15" s="7" t="s">
        <v>40</v>
      </c>
      <c r="C15" s="7" t="s">
        <v>47</v>
      </c>
      <c r="D15" s="3" t="s">
        <v>202</v>
      </c>
      <c r="E15" s="3">
        <v>14</v>
      </c>
      <c r="G15" s="7" t="s">
        <v>258</v>
      </c>
      <c r="H15" s="7" t="s">
        <v>260</v>
      </c>
      <c r="I15" s="3" t="s">
        <v>203</v>
      </c>
      <c r="J15" s="2">
        <v>14</v>
      </c>
    </row>
    <row r="16" spans="1:10" ht="18.75" x14ac:dyDescent="0.3">
      <c r="A16" s="2">
        <v>13</v>
      </c>
      <c r="B16" s="7" t="s">
        <v>59</v>
      </c>
      <c r="C16" s="7" t="s">
        <v>63</v>
      </c>
      <c r="D16" s="3" t="s">
        <v>202</v>
      </c>
      <c r="E16" s="3">
        <v>15</v>
      </c>
      <c r="G16" s="7" t="s">
        <v>258</v>
      </c>
      <c r="H16" s="7" t="s">
        <v>270</v>
      </c>
      <c r="I16" s="3" t="s">
        <v>203</v>
      </c>
      <c r="J16" s="2">
        <v>15</v>
      </c>
    </row>
    <row r="17" spans="1:5" ht="18.75" x14ac:dyDescent="0.3">
      <c r="A17" s="2">
        <v>16</v>
      </c>
      <c r="B17" s="7" t="s">
        <v>74</v>
      </c>
      <c r="C17" s="7" t="s">
        <v>84</v>
      </c>
      <c r="D17" s="3" t="s">
        <v>202</v>
      </c>
      <c r="E17" s="3">
        <v>16</v>
      </c>
    </row>
    <row r="18" spans="1:5" ht="18.75" x14ac:dyDescent="0.3">
      <c r="A18" s="2">
        <v>18</v>
      </c>
      <c r="B18" s="7" t="s">
        <v>88</v>
      </c>
      <c r="C18" s="7" t="s">
        <v>96</v>
      </c>
      <c r="D18" s="3" t="s">
        <v>202</v>
      </c>
      <c r="E18" s="3">
        <v>17</v>
      </c>
    </row>
    <row r="19" spans="1:5" ht="18.75" x14ac:dyDescent="0.3">
      <c r="A19" s="2">
        <v>22</v>
      </c>
      <c r="B19" s="7" t="s">
        <v>103</v>
      </c>
      <c r="C19" s="7" t="s">
        <v>109</v>
      </c>
      <c r="D19" s="3" t="s">
        <v>202</v>
      </c>
      <c r="E19" s="3">
        <v>18</v>
      </c>
    </row>
    <row r="20" spans="1:5" ht="18.75" x14ac:dyDescent="0.3">
      <c r="A20" s="2">
        <v>27</v>
      </c>
      <c r="B20" s="7" t="s">
        <v>136</v>
      </c>
      <c r="C20" s="7" t="s">
        <v>138</v>
      </c>
      <c r="D20" s="3" t="s">
        <v>202</v>
      </c>
      <c r="E20" s="3">
        <v>19</v>
      </c>
    </row>
    <row r="21" spans="1:5" ht="18.75" x14ac:dyDescent="0.3">
      <c r="A21" s="2">
        <v>31</v>
      </c>
      <c r="B21" s="7" t="s">
        <v>172</v>
      </c>
      <c r="C21" s="7" t="s">
        <v>179</v>
      </c>
      <c r="D21" s="3" t="s">
        <v>202</v>
      </c>
      <c r="E21" s="3">
        <v>20</v>
      </c>
    </row>
    <row r="22" spans="1:5" ht="18.75" x14ac:dyDescent="0.3">
      <c r="A22" s="2">
        <v>3</v>
      </c>
      <c r="B22" s="128" t="s">
        <v>4</v>
      </c>
      <c r="C22" s="7" t="s">
        <v>204</v>
      </c>
      <c r="D22" s="3" t="s">
        <v>202</v>
      </c>
      <c r="E22" s="3">
        <v>21</v>
      </c>
    </row>
    <row r="23" spans="1:5" ht="18.75" x14ac:dyDescent="0.3">
      <c r="A23" s="2">
        <v>7</v>
      </c>
      <c r="B23" s="7" t="s">
        <v>23</v>
      </c>
      <c r="C23" s="7" t="s">
        <v>29</v>
      </c>
      <c r="D23" s="3" t="s">
        <v>202</v>
      </c>
      <c r="E23" s="3">
        <v>22</v>
      </c>
    </row>
    <row r="24" spans="1:5" ht="18.75" x14ac:dyDescent="0.3">
      <c r="A24" s="2">
        <v>11</v>
      </c>
      <c r="B24" s="7" t="s">
        <v>40</v>
      </c>
      <c r="C24" s="7" t="s">
        <v>48</v>
      </c>
      <c r="D24" s="3" t="s">
        <v>202</v>
      </c>
      <c r="E24" s="3">
        <v>23</v>
      </c>
    </row>
    <row r="25" spans="1:5" ht="18.75" x14ac:dyDescent="0.3">
      <c r="A25" s="2">
        <v>14</v>
      </c>
      <c r="B25" s="7" t="s">
        <v>59</v>
      </c>
      <c r="C25" s="7" t="s">
        <v>64</v>
      </c>
      <c r="D25" s="3" t="s">
        <v>202</v>
      </c>
      <c r="E25" s="3">
        <v>24</v>
      </c>
    </row>
    <row r="26" spans="1:5" ht="18.75" x14ac:dyDescent="0.3">
      <c r="A26" s="2">
        <v>19</v>
      </c>
      <c r="B26" s="7" t="s">
        <v>88</v>
      </c>
      <c r="C26" s="7" t="s">
        <v>97</v>
      </c>
      <c r="D26" s="3" t="s">
        <v>202</v>
      </c>
      <c r="E26" s="3">
        <v>25</v>
      </c>
    </row>
    <row r="27" spans="1:5" ht="18.75" x14ac:dyDescent="0.3">
      <c r="A27" s="2">
        <v>23</v>
      </c>
      <c r="B27" s="7" t="s">
        <v>103</v>
      </c>
      <c r="C27" s="7" t="s">
        <v>110</v>
      </c>
      <c r="D27" s="3" t="s">
        <v>202</v>
      </c>
      <c r="E27" s="3">
        <v>26</v>
      </c>
    </row>
    <row r="28" spans="1:5" ht="18.75" x14ac:dyDescent="0.3">
      <c r="A28" s="2">
        <v>28</v>
      </c>
      <c r="B28" s="7" t="s">
        <v>136</v>
      </c>
      <c r="C28" s="7" t="s">
        <v>139</v>
      </c>
      <c r="D28" s="3" t="s">
        <v>202</v>
      </c>
      <c r="E28" s="3">
        <v>27</v>
      </c>
    </row>
    <row r="29" spans="1:5" ht="18.75" x14ac:dyDescent="0.3">
      <c r="A29" s="2">
        <v>32</v>
      </c>
      <c r="B29" s="7" t="s">
        <v>172</v>
      </c>
      <c r="C29" s="7" t="s">
        <v>181</v>
      </c>
      <c r="D29" s="3" t="s">
        <v>202</v>
      </c>
      <c r="E29" s="3">
        <v>28</v>
      </c>
    </row>
    <row r="30" spans="1:5" ht="18.75" x14ac:dyDescent="0.3">
      <c r="A30" s="2">
        <v>4</v>
      </c>
      <c r="B30" s="128" t="s">
        <v>4</v>
      </c>
      <c r="C30" s="7" t="s">
        <v>20</v>
      </c>
      <c r="D30" s="3" t="s">
        <v>202</v>
      </c>
      <c r="E30" s="3">
        <v>29</v>
      </c>
    </row>
    <row r="31" spans="1:5" ht="18.75" x14ac:dyDescent="0.3">
      <c r="A31" s="2">
        <v>8</v>
      </c>
      <c r="B31" s="7" t="s">
        <v>23</v>
      </c>
      <c r="C31" s="7" t="s">
        <v>30</v>
      </c>
      <c r="D31" s="3" t="s">
        <v>202</v>
      </c>
      <c r="E31" s="3">
        <v>30</v>
      </c>
    </row>
    <row r="32" spans="1:5" ht="18.75" x14ac:dyDescent="0.3">
      <c r="A32" s="2">
        <v>20</v>
      </c>
      <c r="B32" s="7" t="s">
        <v>88</v>
      </c>
      <c r="C32" s="7" t="s">
        <v>98</v>
      </c>
      <c r="D32" s="3" t="s">
        <v>202</v>
      </c>
      <c r="E32" s="3">
        <v>31</v>
      </c>
    </row>
    <row r="33" spans="1:5" ht="18.75" x14ac:dyDescent="0.3">
      <c r="A33" s="2">
        <v>24</v>
      </c>
      <c r="B33" s="7" t="s">
        <v>103</v>
      </c>
      <c r="C33" s="7" t="s">
        <v>115</v>
      </c>
      <c r="D33" s="3" t="s">
        <v>202</v>
      </c>
      <c r="E33" s="3">
        <v>32</v>
      </c>
    </row>
    <row r="34" spans="1:5" ht="18.75" x14ac:dyDescent="0.3">
      <c r="A34" s="2">
        <v>33</v>
      </c>
      <c r="B34" s="7" t="s">
        <v>243</v>
      </c>
      <c r="C34" s="7" t="s">
        <v>249</v>
      </c>
      <c r="D34" s="3" t="s">
        <v>202</v>
      </c>
      <c r="E34" s="3">
        <v>33</v>
      </c>
    </row>
    <row r="35" spans="1:5" ht="18.75" x14ac:dyDescent="0.3">
      <c r="A35" s="2">
        <v>35</v>
      </c>
      <c r="B35" s="7" t="s">
        <v>258</v>
      </c>
      <c r="C35" s="7" t="s">
        <v>259</v>
      </c>
      <c r="D35" s="3" t="s">
        <v>202</v>
      </c>
      <c r="E35" s="3">
        <v>34</v>
      </c>
    </row>
    <row r="36" spans="1:5" ht="18.75" x14ac:dyDescent="0.3">
      <c r="A36" s="2">
        <v>37</v>
      </c>
      <c r="B36" s="7" t="s">
        <v>274</v>
      </c>
      <c r="C36" s="7" t="s">
        <v>278</v>
      </c>
      <c r="D36" s="3" t="s">
        <v>202</v>
      </c>
      <c r="E36" s="3">
        <v>35</v>
      </c>
    </row>
    <row r="37" spans="1:5" ht="18.75" x14ac:dyDescent="0.3">
      <c r="A37" s="2">
        <v>34</v>
      </c>
      <c r="B37" s="7" t="s">
        <v>243</v>
      </c>
      <c r="C37" s="7" t="s">
        <v>251</v>
      </c>
      <c r="D37" s="3" t="s">
        <v>202</v>
      </c>
      <c r="E37" s="3">
        <v>36</v>
      </c>
    </row>
    <row r="38" spans="1:5" ht="18.75" x14ac:dyDescent="0.3">
      <c r="A38" s="2">
        <v>36</v>
      </c>
      <c r="B38" s="7" t="s">
        <v>274</v>
      </c>
      <c r="C38" s="7" t="s">
        <v>277</v>
      </c>
      <c r="D38" s="3" t="s">
        <v>202</v>
      </c>
      <c r="E38" s="3">
        <v>37</v>
      </c>
    </row>
    <row r="39" spans="1:5" ht="18.75" x14ac:dyDescent="0.3">
      <c r="A39" s="2">
        <v>38</v>
      </c>
      <c r="B39" s="7" t="s">
        <v>274</v>
      </c>
      <c r="C39" s="7" t="s">
        <v>279</v>
      </c>
      <c r="D39" s="3" t="s">
        <v>202</v>
      </c>
      <c r="E39" s="3">
        <v>38</v>
      </c>
    </row>
  </sheetData>
  <autoFilter ref="B1:J1"/>
  <sortState ref="A2:E39">
    <sortCondition ref="E2:E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Views>
    <sheetView zoomScale="85" zoomScaleNormal="85" workbookViewId="0">
      <selection activeCell="G3" sqref="G3"/>
    </sheetView>
  </sheetViews>
  <sheetFormatPr defaultRowHeight="20.100000000000001" customHeight="1" x14ac:dyDescent="0.3"/>
  <cols>
    <col min="1" max="1" width="7.5703125" style="21" customWidth="1"/>
    <col min="2" max="2" width="15.85546875" style="17" customWidth="1"/>
    <col min="3" max="3" width="45.28515625" style="10" bestFit="1" customWidth="1"/>
    <col min="4" max="4" width="8.42578125" style="11" customWidth="1"/>
    <col min="5" max="5" width="13.28515625" style="11" customWidth="1"/>
    <col min="6" max="6" width="12" style="10" hidden="1" customWidth="1"/>
    <col min="7" max="7" width="14" style="96" customWidth="1"/>
    <col min="8" max="8" width="13.140625" style="18" customWidth="1"/>
    <col min="9" max="9" width="11.140625" style="11" customWidth="1"/>
    <col min="10" max="10" width="9.5703125" style="11" customWidth="1"/>
    <col min="11" max="11" width="9.140625" style="10"/>
    <col min="12" max="12" width="5.7109375" style="11" customWidth="1"/>
    <col min="13" max="13" width="16" style="124" customWidth="1"/>
    <col min="14" max="14" width="16.140625" style="11" customWidth="1"/>
    <col min="15" max="15" width="12.5703125" style="10" customWidth="1"/>
    <col min="16" max="16" width="11" style="17" customWidth="1"/>
    <col min="17" max="16384" width="9.140625" style="10"/>
  </cols>
  <sheetData>
    <row r="1" spans="1:16" ht="20.100000000000001" customHeight="1" thickBot="1" x14ac:dyDescent="0.35">
      <c r="A1" s="152" t="s">
        <v>235</v>
      </c>
      <c r="B1" s="152"/>
      <c r="C1" s="152"/>
      <c r="D1" s="152"/>
      <c r="E1" s="152"/>
      <c r="F1" s="152"/>
      <c r="G1" s="152"/>
      <c r="H1" s="152"/>
      <c r="I1" s="152"/>
      <c r="J1" s="152"/>
    </row>
    <row r="2" spans="1:16" s="11" customFormat="1" ht="56.25" thickBot="1" x14ac:dyDescent="0.3">
      <c r="A2" s="119" t="s">
        <v>196</v>
      </c>
      <c r="B2" s="94" t="s">
        <v>191</v>
      </c>
      <c r="C2" s="132" t="s">
        <v>192</v>
      </c>
      <c r="D2" s="112" t="s">
        <v>201</v>
      </c>
      <c r="E2" s="113" t="s">
        <v>218</v>
      </c>
      <c r="F2" s="112" t="s">
        <v>201</v>
      </c>
      <c r="G2" s="120" t="s">
        <v>221</v>
      </c>
      <c r="H2" s="114" t="s">
        <v>222</v>
      </c>
      <c r="I2" s="112" t="s">
        <v>223</v>
      </c>
      <c r="J2" s="112" t="s">
        <v>224</v>
      </c>
      <c r="L2" s="115" t="s">
        <v>206</v>
      </c>
      <c r="M2" s="125" t="s">
        <v>191</v>
      </c>
      <c r="N2" s="116" t="s">
        <v>209</v>
      </c>
      <c r="O2" s="117" t="s">
        <v>210</v>
      </c>
      <c r="P2" s="118" t="s">
        <v>224</v>
      </c>
    </row>
    <row r="3" spans="1:16" ht="20.100000000000001" customHeight="1" x14ac:dyDescent="0.3">
      <c r="A3" s="103">
        <v>1</v>
      </c>
      <c r="B3" s="133" t="s">
        <v>4</v>
      </c>
      <c r="C3" s="134" t="s">
        <v>10</v>
      </c>
      <c r="D3" s="129" t="s">
        <v>202</v>
      </c>
      <c r="E3" s="107">
        <v>1</v>
      </c>
      <c r="F3" s="97" t="s">
        <v>202</v>
      </c>
      <c r="G3" s="100">
        <f>IF(D3="М",IFERROR(INDEX('Старт М'!$I$3:$I$101,MATCH('Ориентирование-сводная'!C3,'Старт М'!$C$3:$C$101,0)),""),IFERROR(INDEX('Старт Ж'!$I$3:$I$101,MATCH('Ориентирование-сводная'!C3,'Старт Ж'!$C$3:$C$101,0)),""))</f>
        <v>0.11563657407407407</v>
      </c>
      <c r="H3" s="153">
        <f>SUM(G3:G6)</f>
        <v>0.50868055555555447</v>
      </c>
      <c r="I3" s="146" t="str">
        <f>INDEX($O$3:$O$34,MATCH($H$3:$H$82,$N$3:$N$34,0))</f>
        <v>XIII</v>
      </c>
      <c r="J3" s="149">
        <f>INDEX($P$3:$P$34,MATCH($H$3:$H$171,$N$3:$N$34,0))</f>
        <v>8</v>
      </c>
      <c r="L3" s="157">
        <v>1</v>
      </c>
      <c r="M3" s="158" t="str">
        <f>INDEX($B$3:$B$82,MATCH(N3,$H$2:$H$82,0))</f>
        <v>ЦНИОКР</v>
      </c>
      <c r="N3" s="159">
        <f>SMALL($H$3:$H$71,1)</f>
        <v>0.18805555555555492</v>
      </c>
      <c r="O3" s="160" t="s">
        <v>211</v>
      </c>
      <c r="P3" s="161">
        <v>30</v>
      </c>
    </row>
    <row r="4" spans="1:16" s="12" customFormat="1" ht="20.100000000000001" customHeight="1" x14ac:dyDescent="0.3">
      <c r="A4" s="104">
        <v>1</v>
      </c>
      <c r="B4" s="135" t="s">
        <v>4</v>
      </c>
      <c r="C4" s="14" t="s">
        <v>11</v>
      </c>
      <c r="D4" s="130" t="s">
        <v>202</v>
      </c>
      <c r="E4" s="15">
        <v>2</v>
      </c>
      <c r="F4" s="98" t="s">
        <v>203</v>
      </c>
      <c r="G4" s="101">
        <f>IF(D4="М",IFERROR(INDEX('Старт М'!$I$3:$I$101,MATCH('Ориентирование-сводная'!C4,'Старт М'!$C$3:$C$101,0)),""),IFERROR(INDEX('Старт Ж'!$I$3:$I$101,MATCH('Ориентирование-сводная'!C4,'Старт Ж'!$C$3:$C$101,0)),""))</f>
        <v>0.1484375</v>
      </c>
      <c r="H4" s="154"/>
      <c r="I4" s="147"/>
      <c r="J4" s="150"/>
      <c r="L4" s="13">
        <v>2</v>
      </c>
      <c r="M4" s="126" t="str">
        <f t="shared" ref="M4:M16" si="0">INDEX($B$3:$B$82,MATCH(N4,$H$2:$H$82,0))</f>
        <v>ц.35</v>
      </c>
      <c r="N4" s="140">
        <f>SMALL($H$3:$H$71,2)</f>
        <v>0.2336805555555552</v>
      </c>
      <c r="O4" s="8" t="s">
        <v>212</v>
      </c>
      <c r="P4" s="137">
        <v>28</v>
      </c>
    </row>
    <row r="5" spans="1:16" ht="20.100000000000001" customHeight="1" x14ac:dyDescent="0.3">
      <c r="A5" s="104">
        <v>1</v>
      </c>
      <c r="B5" s="135" t="s">
        <v>4</v>
      </c>
      <c r="C5" s="14" t="s">
        <v>204</v>
      </c>
      <c r="D5" s="130" t="s">
        <v>202</v>
      </c>
      <c r="E5" s="15">
        <v>3</v>
      </c>
      <c r="F5" s="98" t="s">
        <v>202</v>
      </c>
      <c r="G5" s="101">
        <f>IF(D5="М",IFERROR(INDEX('Старт М'!$I$3:$I$101,MATCH('Ориентирование-сводная'!C5,'Старт М'!$C$3:$C$101,0)),""),IFERROR(INDEX('Старт Ж'!$I$3:$I$101,MATCH('Ориентирование-сводная'!C5,'Старт Ж'!$C$3:$C$101,0)),""))</f>
        <v>0.14218749999999974</v>
      </c>
      <c r="H5" s="154"/>
      <c r="I5" s="147"/>
      <c r="J5" s="150"/>
      <c r="L5" s="13">
        <v>3</v>
      </c>
      <c r="M5" s="126" t="str">
        <f t="shared" si="0"/>
        <v>ЧОП</v>
      </c>
      <c r="N5" s="140">
        <f>SMALL($H$3:$H$71,3)</f>
        <v>0.24719907407407171</v>
      </c>
      <c r="O5" s="8" t="s">
        <v>213</v>
      </c>
      <c r="P5" s="137">
        <v>26</v>
      </c>
    </row>
    <row r="6" spans="1:16" ht="20.100000000000001" customHeight="1" thickBot="1" x14ac:dyDescent="0.35">
      <c r="A6" s="105">
        <v>1</v>
      </c>
      <c r="B6" s="136" t="s">
        <v>4</v>
      </c>
      <c r="C6" s="123" t="s">
        <v>20</v>
      </c>
      <c r="D6" s="131" t="s">
        <v>202</v>
      </c>
      <c r="E6" s="108">
        <v>4</v>
      </c>
      <c r="F6" s="99" t="s">
        <v>202</v>
      </c>
      <c r="G6" s="102">
        <f>IF(D6="М",IFERROR(INDEX('Старт М'!$I$3:$I$101,MATCH('Ориентирование-сводная'!C6,'Старт М'!$C$3:$C$101,0)),""),IFERROR(INDEX('Старт Ж'!$I$3:$I$101,MATCH('Ориентирование-сводная'!C6,'Старт Ж'!$C$3:$C$101,0)),""))</f>
        <v>0.1024189814814806</v>
      </c>
      <c r="H6" s="155"/>
      <c r="I6" s="148"/>
      <c r="J6" s="151"/>
      <c r="L6" s="13">
        <v>4</v>
      </c>
      <c r="M6" s="126" t="str">
        <f t="shared" si="0"/>
        <v>ОГМетр</v>
      </c>
      <c r="N6" s="140">
        <f>SMALL($H$3:$H$71,4)</f>
        <v>0.2596064814814798</v>
      </c>
      <c r="O6" s="8" t="s">
        <v>214</v>
      </c>
      <c r="P6" s="137">
        <v>24</v>
      </c>
    </row>
    <row r="7" spans="1:16" ht="20.100000000000001" customHeight="1" x14ac:dyDescent="0.3">
      <c r="A7" s="103">
        <v>2</v>
      </c>
      <c r="B7" s="133" t="s">
        <v>23</v>
      </c>
      <c r="C7" s="134" t="s">
        <v>24</v>
      </c>
      <c r="D7" s="109" t="s">
        <v>202</v>
      </c>
      <c r="E7" s="107">
        <v>5</v>
      </c>
      <c r="F7" s="95" t="s">
        <v>203</v>
      </c>
      <c r="G7" s="100">
        <f>IF(D7="М",IFERROR(INDEX('Старт М'!$I$3:$I$101,MATCH('Ориентирование-сводная'!C7,'Старт М'!$C$3:$C$101,0)),""),IFERROR(INDEX('Старт Ж'!$I$3:$I$101,MATCH('Ориентирование-сводная'!C7,'Старт Ж'!$C$3:$C$101,0)),""))</f>
        <v>7.2581018518518517E-2</v>
      </c>
      <c r="H7" s="143">
        <f>SUM(G7:G10)</f>
        <v>0.51446759259259178</v>
      </c>
      <c r="I7" s="146" t="str">
        <f>INDEX($O$3:$O$34,MATCH($H$3:$H$82,$N$3:$N$34,0))</f>
        <v>XIV</v>
      </c>
      <c r="J7" s="149">
        <f>INDEX($P$3:$P$34,MATCH($H$3:$H$171,$N$3:$N$34,0))</f>
        <v>7</v>
      </c>
      <c r="L7" s="13">
        <v>5</v>
      </c>
      <c r="M7" s="126" t="str">
        <f t="shared" si="0"/>
        <v>СУКП</v>
      </c>
      <c r="N7" s="140">
        <f>SMALL($H$3:$H$71,5)</f>
        <v>0.27266203703703651</v>
      </c>
      <c r="O7" s="8" t="s">
        <v>215</v>
      </c>
      <c r="P7" s="137">
        <v>22</v>
      </c>
    </row>
    <row r="8" spans="1:16" ht="20.100000000000001" customHeight="1" x14ac:dyDescent="0.3">
      <c r="A8" s="104">
        <v>2</v>
      </c>
      <c r="B8" s="135" t="s">
        <v>23</v>
      </c>
      <c r="C8" s="14" t="s">
        <v>26</v>
      </c>
      <c r="D8" s="110" t="s">
        <v>202</v>
      </c>
      <c r="E8" s="15">
        <v>6</v>
      </c>
      <c r="F8" s="8" t="s">
        <v>202</v>
      </c>
      <c r="G8" s="101">
        <f>IF(D8="М",IFERROR(INDEX('Старт М'!$I$3:$I$101,MATCH('Ориентирование-сводная'!C8,'Старт М'!$C$3:$C$101,0)),""),IFERROR(INDEX('Старт Ж'!$I$3:$I$101,MATCH('Ориентирование-сводная'!C8,'Старт Ж'!$C$3:$C$101,0)),""))</f>
        <v>0.20916666666666667</v>
      </c>
      <c r="H8" s="144"/>
      <c r="I8" s="147"/>
      <c r="J8" s="150"/>
      <c r="L8" s="13">
        <v>6</v>
      </c>
      <c r="M8" s="126" t="str">
        <f t="shared" si="0"/>
        <v>ОТД+ОГК</v>
      </c>
      <c r="N8" s="140">
        <f>SMALL($H$3:$H$71,6)</f>
        <v>0.27776620370370292</v>
      </c>
      <c r="O8" s="8" t="s">
        <v>225</v>
      </c>
      <c r="P8" s="137">
        <v>20</v>
      </c>
    </row>
    <row r="9" spans="1:16" ht="20.100000000000001" customHeight="1" x14ac:dyDescent="0.3">
      <c r="A9" s="104">
        <v>2</v>
      </c>
      <c r="B9" s="135" t="s">
        <v>23</v>
      </c>
      <c r="C9" s="14" t="s">
        <v>29</v>
      </c>
      <c r="D9" s="110" t="s">
        <v>202</v>
      </c>
      <c r="E9" s="15">
        <v>7</v>
      </c>
      <c r="F9" s="8" t="s">
        <v>202</v>
      </c>
      <c r="G9" s="101">
        <f>IF(D9="М",IFERROR(INDEX('Старт М'!$I$3:$I$101,MATCH('Ориентирование-сводная'!C9,'Старт М'!$C$3:$C$101,0)),""),IFERROR(INDEX('Старт Ж'!$I$3:$I$101,MATCH('Ориентирование-сводная'!C9,'Старт Ж'!$C$3:$C$101,0)),""))</f>
        <v>0.11888888888888857</v>
      </c>
      <c r="H9" s="144"/>
      <c r="I9" s="147"/>
      <c r="J9" s="150"/>
      <c r="L9" s="13">
        <v>7</v>
      </c>
      <c r="M9" s="126" t="str">
        <f t="shared" si="0"/>
        <v>ОГТ</v>
      </c>
      <c r="N9" s="140">
        <f>SMALL($H$3:$H$71,7)</f>
        <v>0.30499999999999999</v>
      </c>
      <c r="O9" s="8" t="s">
        <v>226</v>
      </c>
      <c r="P9" s="137">
        <v>18</v>
      </c>
    </row>
    <row r="10" spans="1:16" ht="20.100000000000001" customHeight="1" thickBot="1" x14ac:dyDescent="0.35">
      <c r="A10" s="105">
        <v>2</v>
      </c>
      <c r="B10" s="136" t="s">
        <v>23</v>
      </c>
      <c r="C10" s="123" t="s">
        <v>30</v>
      </c>
      <c r="D10" s="111" t="s">
        <v>202</v>
      </c>
      <c r="E10" s="108">
        <v>8</v>
      </c>
      <c r="F10" s="9" t="s">
        <v>202</v>
      </c>
      <c r="G10" s="102">
        <f>IF(D10="М",IFERROR(INDEX('Старт М'!$I$3:$I$101,MATCH('Ориентирование-сводная'!C10,'Старт М'!$C$3:$C$101,0)),""),IFERROR(INDEX('Старт Ж'!$I$3:$I$101,MATCH('Ориентирование-сводная'!C10,'Старт Ж'!$C$3:$C$101,0)),""))</f>
        <v>0.1138310185185181</v>
      </c>
      <c r="H10" s="145"/>
      <c r="I10" s="148"/>
      <c r="J10" s="151"/>
      <c r="L10" s="13">
        <v>8</v>
      </c>
      <c r="M10" s="126" t="str">
        <f t="shared" si="0"/>
        <v>ц.63</v>
      </c>
      <c r="N10" s="140">
        <f>SMALL($H$3:$H$71,8)</f>
        <v>0.32469907407407256</v>
      </c>
      <c r="O10" s="8" t="s">
        <v>227</v>
      </c>
      <c r="P10" s="137">
        <v>16</v>
      </c>
    </row>
    <row r="11" spans="1:16" ht="20.100000000000001" customHeight="1" x14ac:dyDescent="0.3">
      <c r="A11" s="103">
        <v>3</v>
      </c>
      <c r="B11" s="133" t="s">
        <v>40</v>
      </c>
      <c r="C11" s="134" t="s">
        <v>46</v>
      </c>
      <c r="D11" s="109" t="s">
        <v>202</v>
      </c>
      <c r="E11" s="107">
        <v>9</v>
      </c>
      <c r="F11" s="95" t="s">
        <v>202</v>
      </c>
      <c r="G11" s="100">
        <f>IF(D11="М",IFERROR(INDEX('Старт М'!$I$3:$I$101,MATCH('Ориентирование-сводная'!C11,'Старт М'!$C$3:$C$101,0)),""),IFERROR(INDEX('Старт Ж'!$I$3:$I$101,MATCH('Ориентирование-сводная'!C11,'Старт Ж'!$C$3:$C$101,0)),""))</f>
        <v>0.11355324074074068</v>
      </c>
      <c r="H11" s="143">
        <f>SUM(G11:G14)</f>
        <v>0.2336805555555552</v>
      </c>
      <c r="I11" s="146" t="str">
        <f>INDEX($O$3:$O$34,MATCH($H$3:$H$82,$N$3:$N$34,0))</f>
        <v>II</v>
      </c>
      <c r="J11" s="149">
        <f>INDEX($P$3:$P$34,MATCH($H$3:$H$171,$N$3:$N$34,0))</f>
        <v>28</v>
      </c>
      <c r="L11" s="13">
        <v>9</v>
      </c>
      <c r="M11" s="126" t="str">
        <f t="shared" si="0"/>
        <v>ц.65</v>
      </c>
      <c r="N11" s="140">
        <f>SMALL($H$3:$H$71,9)</f>
        <v>0.33304398148148051</v>
      </c>
      <c r="O11" s="8" t="s">
        <v>228</v>
      </c>
      <c r="P11" s="137">
        <v>14</v>
      </c>
    </row>
    <row r="12" spans="1:16" ht="20.100000000000001" customHeight="1" x14ac:dyDescent="0.3">
      <c r="A12" s="104">
        <v>3</v>
      </c>
      <c r="B12" s="135" t="s">
        <v>40</v>
      </c>
      <c r="C12" s="14" t="s">
        <v>47</v>
      </c>
      <c r="D12" s="110" t="s">
        <v>202</v>
      </c>
      <c r="E12" s="15">
        <v>10</v>
      </c>
      <c r="F12" s="8" t="s">
        <v>202</v>
      </c>
      <c r="G12" s="101">
        <f>IF(D12="М",IFERROR(INDEX('Старт М'!$I$3:$I$101,MATCH('Ориентирование-сводная'!C12,'Старт М'!$C$3:$C$101,0)),""),IFERROR(INDEX('Старт Ж'!$I$3:$I$101,MATCH('Ориентирование-сводная'!C12,'Старт Ж'!$C$3:$C$101,0)),""))</f>
        <v>4.7384259259259258E-2</v>
      </c>
      <c r="H12" s="144"/>
      <c r="I12" s="147"/>
      <c r="J12" s="150"/>
      <c r="L12" s="13">
        <v>10</v>
      </c>
      <c r="M12" s="126" t="str">
        <f t="shared" si="0"/>
        <v>АХС</v>
      </c>
      <c r="N12" s="140">
        <f>SMALL($H$3:$H$71,10)</f>
        <v>0.3435300925925926</v>
      </c>
      <c r="O12" s="8" t="s">
        <v>229</v>
      </c>
      <c r="P12" s="137">
        <v>12</v>
      </c>
    </row>
    <row r="13" spans="1:16" ht="20.100000000000001" customHeight="1" x14ac:dyDescent="0.3">
      <c r="A13" s="104">
        <v>3</v>
      </c>
      <c r="B13" s="135" t="s">
        <v>40</v>
      </c>
      <c r="C13" s="14" t="s">
        <v>48</v>
      </c>
      <c r="D13" s="110" t="s">
        <v>202</v>
      </c>
      <c r="E13" s="15">
        <v>11</v>
      </c>
      <c r="F13" s="8" t="s">
        <v>202</v>
      </c>
      <c r="G13" s="101">
        <f>IF(D13="М",IFERROR(INDEX('Старт М'!$I$3:$I$101,MATCH('Ориентирование-сводная'!C13,'Старт М'!$C$3:$C$101,0)),""),IFERROR(INDEX('Старт Ж'!$I$3:$I$101,MATCH('Ориентирование-сводная'!C13,'Старт Ж'!$C$3:$C$101,0)),""))</f>
        <v>4.1134259259258982E-2</v>
      </c>
      <c r="H13" s="144"/>
      <c r="I13" s="147"/>
      <c r="J13" s="150"/>
      <c r="L13" s="13">
        <v>11</v>
      </c>
      <c r="M13" s="126" t="str">
        <f t="shared" si="0"/>
        <v>ц.38</v>
      </c>
      <c r="N13" s="140">
        <f>SMALL($H$3:$H$71,11)</f>
        <v>0.3622453703703703</v>
      </c>
      <c r="O13" s="8" t="s">
        <v>230</v>
      </c>
      <c r="P13" s="137">
        <v>10</v>
      </c>
    </row>
    <row r="14" spans="1:16" ht="20.100000000000001" customHeight="1" thickBot="1" x14ac:dyDescent="0.35">
      <c r="A14" s="105">
        <v>3</v>
      </c>
      <c r="B14" s="136" t="s">
        <v>40</v>
      </c>
      <c r="C14" s="123" t="s">
        <v>52</v>
      </c>
      <c r="D14" s="111" t="s">
        <v>203</v>
      </c>
      <c r="E14" s="108">
        <v>12</v>
      </c>
      <c r="F14" s="9" t="s">
        <v>203</v>
      </c>
      <c r="G14" s="102">
        <f>IF(D14="М",IFERROR(INDEX('Старт М'!$I$3:$I$101,MATCH('Ориентирование-сводная'!C14,'Старт М'!$C$3:$C$101,0)),""),IFERROR(INDEX('Старт Ж'!$I$3:$I$101,MATCH('Ориентирование-сводная'!C14,'Старт Ж'!$C$3:$C$101,0)),""))</f>
        <v>3.1608796296296295E-2</v>
      </c>
      <c r="H14" s="145"/>
      <c r="I14" s="148"/>
      <c r="J14" s="151"/>
      <c r="L14" s="13">
        <v>12</v>
      </c>
      <c r="M14" s="126" t="str">
        <f t="shared" si="0"/>
        <v>СГМ</v>
      </c>
      <c r="N14" s="140">
        <f>SMALL($H$3:$H$71,12)</f>
        <v>0.47339120370370363</v>
      </c>
      <c r="O14" s="8" t="s">
        <v>231</v>
      </c>
      <c r="P14" s="137">
        <v>9</v>
      </c>
    </row>
    <row r="15" spans="1:16" ht="20.100000000000001" customHeight="1" x14ac:dyDescent="0.3">
      <c r="A15" s="103">
        <v>4</v>
      </c>
      <c r="B15" s="133" t="s">
        <v>59</v>
      </c>
      <c r="C15" s="134" t="s">
        <v>61</v>
      </c>
      <c r="D15" s="109" t="s">
        <v>202</v>
      </c>
      <c r="E15" s="107">
        <v>13</v>
      </c>
      <c r="F15" s="95" t="s">
        <v>203</v>
      </c>
      <c r="G15" s="100">
        <f>IF(D15="М",IFERROR(INDEX('Старт М'!$I$3:$I$101,MATCH('Ориентирование-сводная'!C15,'Старт М'!$C$3:$C$101,0)),""),IFERROR(INDEX('Старт Ж'!$I$3:$I$101,MATCH('Ориентирование-сводная'!C15,'Старт Ж'!$C$3:$C$101,0)),""))</f>
        <v>0.15452546296296324</v>
      </c>
      <c r="H15" s="143">
        <f>SUM(G15:G18)</f>
        <v>0.3622453703703703</v>
      </c>
      <c r="I15" s="146" t="str">
        <f>INDEX($O$3:$O$34,MATCH($H$3:$H$82,$N$3:$N$34,0))</f>
        <v>XI</v>
      </c>
      <c r="J15" s="149">
        <f>INDEX($P$3:$P$34,MATCH($H$3:$H$171,$N$3:$N$34,0))</f>
        <v>10</v>
      </c>
      <c r="L15" s="13">
        <v>13</v>
      </c>
      <c r="M15" s="126" t="str">
        <f t="shared" si="0"/>
        <v>СМП</v>
      </c>
      <c r="N15" s="140">
        <f>SMALL($H$3:$H$71,13)</f>
        <v>0.50868055555555447</v>
      </c>
      <c r="O15" s="8" t="s">
        <v>232</v>
      </c>
      <c r="P15" s="137">
        <v>8</v>
      </c>
    </row>
    <row r="16" spans="1:16" ht="20.100000000000001" customHeight="1" x14ac:dyDescent="0.3">
      <c r="A16" s="104">
        <v>4</v>
      </c>
      <c r="B16" s="135" t="s">
        <v>59</v>
      </c>
      <c r="C16" s="14" t="s">
        <v>63</v>
      </c>
      <c r="D16" s="110" t="s">
        <v>202</v>
      </c>
      <c r="E16" s="15">
        <v>14</v>
      </c>
      <c r="F16" s="8" t="s">
        <v>202</v>
      </c>
      <c r="G16" s="101">
        <f>IF(D16="М",IFERROR(INDEX('Старт М'!$I$3:$I$101,MATCH('Ориентирование-сводная'!C16,'Старт М'!$C$3:$C$101,0)),""),IFERROR(INDEX('Старт Ж'!$I$3:$I$101,MATCH('Ориентирование-сводная'!C16,'Старт Ж'!$C$3:$C$101,0)),""))</f>
        <v>5.5729166666666635E-2</v>
      </c>
      <c r="H16" s="144"/>
      <c r="I16" s="147"/>
      <c r="J16" s="150"/>
      <c r="L16" s="13">
        <v>14</v>
      </c>
      <c r="M16" s="126" t="str">
        <f t="shared" si="0"/>
        <v>МП</v>
      </c>
      <c r="N16" s="140">
        <f t="shared" ref="N16" si="1">SMALL($H$3:$H$71,14)</f>
        <v>0.51446759259259178</v>
      </c>
      <c r="O16" s="8" t="s">
        <v>233</v>
      </c>
      <c r="P16" s="137">
        <v>7</v>
      </c>
    </row>
    <row r="17" spans="1:16" ht="20.100000000000001" customHeight="1" x14ac:dyDescent="0.3">
      <c r="A17" s="104">
        <v>4</v>
      </c>
      <c r="B17" s="135" t="s">
        <v>59</v>
      </c>
      <c r="C17" s="14" t="s">
        <v>64</v>
      </c>
      <c r="D17" s="110" t="s">
        <v>202</v>
      </c>
      <c r="E17" s="15">
        <v>15</v>
      </c>
      <c r="F17" s="8" t="s">
        <v>202</v>
      </c>
      <c r="G17" s="101">
        <f>IF(D17="М",IFERROR(INDEX('Старт М'!$I$3:$I$101,MATCH('Ориентирование-сводная'!C17,'Старт М'!$C$3:$C$101,0)),""),IFERROR(INDEX('Старт Ж'!$I$3:$I$101,MATCH('Ориентирование-сводная'!C17,'Старт Ж'!$C$3:$C$101,0)),""))</f>
        <v>4.9479166666666338E-2</v>
      </c>
      <c r="H17" s="144"/>
      <c r="I17" s="147"/>
      <c r="J17" s="150"/>
      <c r="L17" s="13"/>
      <c r="M17" s="126"/>
      <c r="N17" s="140"/>
      <c r="O17" s="8" t="s">
        <v>234</v>
      </c>
      <c r="P17" s="137">
        <v>6</v>
      </c>
    </row>
    <row r="18" spans="1:16" ht="20.100000000000001" customHeight="1" thickBot="1" x14ac:dyDescent="0.35">
      <c r="A18" s="105">
        <v>4</v>
      </c>
      <c r="B18" s="136" t="s">
        <v>59</v>
      </c>
      <c r="C18" s="123" t="s">
        <v>205</v>
      </c>
      <c r="D18" s="111" t="s">
        <v>203</v>
      </c>
      <c r="E18" s="108">
        <v>16</v>
      </c>
      <c r="F18" s="9" t="s">
        <v>202</v>
      </c>
      <c r="G18" s="102">
        <f>IF(D18="М",IFERROR(INDEX('Старт М'!$I$3:$I$101,MATCH('Ориентирование-сводная'!C18,'Старт М'!$C$3:$C$101,0)),""),IFERROR(INDEX('Старт Ж'!$I$3:$I$101,MATCH('Ориентирование-сводная'!C18,'Старт Ж'!$C$3:$C$101,0)),""))</f>
        <v>0.10251157407407407</v>
      </c>
      <c r="H18" s="145"/>
      <c r="I18" s="148"/>
      <c r="J18" s="151"/>
      <c r="L18" s="13"/>
      <c r="M18" s="126"/>
      <c r="N18" s="140"/>
      <c r="O18" s="8" t="s">
        <v>238</v>
      </c>
      <c r="P18" s="137">
        <v>5</v>
      </c>
    </row>
    <row r="19" spans="1:16" ht="20.100000000000001" customHeight="1" x14ac:dyDescent="0.3">
      <c r="A19" s="103">
        <v>5</v>
      </c>
      <c r="B19" s="133" t="s">
        <v>74</v>
      </c>
      <c r="C19" s="134" t="s">
        <v>75</v>
      </c>
      <c r="D19" s="109" t="s">
        <v>203</v>
      </c>
      <c r="E19" s="107">
        <v>17</v>
      </c>
      <c r="F19" s="95" t="s">
        <v>202</v>
      </c>
      <c r="G19" s="100">
        <f>IF(D19="М",IFERROR(INDEX('Старт М'!$I$3:$I$101,MATCH('Ориентирование-сводная'!C19,'Старт М'!$C$3:$C$101,0)),""),IFERROR(INDEX('Старт Ж'!$I$3:$I$101,MATCH('Ориентирование-сводная'!C19,'Старт Ж'!$C$3:$C$101,0)),""))</f>
        <v>0.10181712962962963</v>
      </c>
      <c r="H19" s="143">
        <f>SUM(G19:G22)</f>
        <v>0.47339120370370363</v>
      </c>
      <c r="I19" s="146" t="str">
        <f>INDEX($O$3:$O$34,MATCH($H$3:$H$82,$N$3:$N$34,0))</f>
        <v>XII</v>
      </c>
      <c r="J19" s="149">
        <f>INDEX($P$3:$P$34,MATCH($H$3:$H$171,$N$3:$N$34,0))</f>
        <v>9</v>
      </c>
      <c r="L19" s="13"/>
      <c r="M19" s="126"/>
      <c r="N19" s="140"/>
      <c r="O19" s="8" t="s">
        <v>239</v>
      </c>
      <c r="P19" s="137">
        <v>4</v>
      </c>
    </row>
    <row r="20" spans="1:16" ht="20.100000000000001" customHeight="1" x14ac:dyDescent="0.3">
      <c r="A20" s="104">
        <v>5</v>
      </c>
      <c r="B20" s="135" t="s">
        <v>74</v>
      </c>
      <c r="C20" s="14" t="s">
        <v>76</v>
      </c>
      <c r="D20" s="110" t="s">
        <v>203</v>
      </c>
      <c r="E20" s="15">
        <v>18</v>
      </c>
      <c r="F20" s="8" t="s">
        <v>203</v>
      </c>
      <c r="G20" s="101">
        <f>IF(D20="М",IFERROR(INDEX('Старт М'!$I$3:$I$101,MATCH('Ориентирование-сводная'!C20,'Старт М'!$C$3:$C$101,0)),""),IFERROR(INDEX('Старт Ж'!$I$3:$I$101,MATCH('Ориентирование-сводная'!C20,'Старт Ж'!$C$3:$C$101,0)),""))</f>
        <v>8.0682870370370363E-2</v>
      </c>
      <c r="H20" s="144"/>
      <c r="I20" s="147"/>
      <c r="J20" s="150"/>
      <c r="L20" s="13"/>
      <c r="M20" s="126"/>
      <c r="N20" s="140"/>
      <c r="O20" s="8" t="s">
        <v>240</v>
      </c>
      <c r="P20" s="137">
        <v>3</v>
      </c>
    </row>
    <row r="21" spans="1:16" ht="20.100000000000001" customHeight="1" x14ac:dyDescent="0.3">
      <c r="A21" s="104">
        <v>5</v>
      </c>
      <c r="B21" s="135" t="s">
        <v>74</v>
      </c>
      <c r="C21" s="14" t="s">
        <v>77</v>
      </c>
      <c r="D21" s="110" t="s">
        <v>202</v>
      </c>
      <c r="E21" s="15">
        <v>19</v>
      </c>
      <c r="F21" s="8" t="s">
        <v>202</v>
      </c>
      <c r="G21" s="101">
        <f>IF(D21="М",IFERROR(INDEX('Старт М'!$I$3:$I$101,MATCH('Ориентирование-сводная'!C21,'Старт М'!$C$3:$C$101,0)),""),IFERROR(INDEX('Старт Ж'!$I$3:$I$101,MATCH('Ориентирование-сводная'!C21,'Старт Ж'!$C$3:$C$101,0)),""))</f>
        <v>0.22787037037037036</v>
      </c>
      <c r="H21" s="144"/>
      <c r="I21" s="147"/>
      <c r="J21" s="150"/>
      <c r="L21" s="13"/>
      <c r="M21" s="126"/>
      <c r="N21" s="140"/>
      <c r="O21" s="8" t="s">
        <v>241</v>
      </c>
      <c r="P21" s="137">
        <v>2</v>
      </c>
    </row>
    <row r="22" spans="1:16" ht="20.100000000000001" customHeight="1" thickBot="1" x14ac:dyDescent="0.35">
      <c r="A22" s="105">
        <v>5</v>
      </c>
      <c r="B22" s="136" t="s">
        <v>74</v>
      </c>
      <c r="C22" s="123" t="s">
        <v>84</v>
      </c>
      <c r="D22" s="111" t="s">
        <v>202</v>
      </c>
      <c r="E22" s="108">
        <v>20</v>
      </c>
      <c r="F22" s="9" t="s">
        <v>203</v>
      </c>
      <c r="G22" s="102">
        <f>IF(D22="М",IFERROR(INDEX('Старт М'!$I$3:$I$101,MATCH('Ориентирование-сводная'!C22,'Старт М'!$C$3:$C$101,0)),""),IFERROR(INDEX('Старт Ж'!$I$3:$I$101,MATCH('Ориентирование-сводная'!C22,'Старт Ж'!$C$3:$C$101,0)),""))</f>
        <v>6.3020833333333248E-2</v>
      </c>
      <c r="H22" s="145"/>
      <c r="I22" s="148"/>
      <c r="J22" s="151"/>
      <c r="L22" s="122"/>
      <c r="M22" s="162"/>
      <c r="N22" s="163"/>
      <c r="O22" s="9" t="s">
        <v>242</v>
      </c>
      <c r="P22" s="164">
        <v>1</v>
      </c>
    </row>
    <row r="23" spans="1:16" ht="20.100000000000001" customHeight="1" x14ac:dyDescent="0.3">
      <c r="A23" s="103">
        <v>6</v>
      </c>
      <c r="B23" s="133" t="s">
        <v>88</v>
      </c>
      <c r="C23" s="134" t="s">
        <v>93</v>
      </c>
      <c r="D23" s="109" t="s">
        <v>202</v>
      </c>
      <c r="E23" s="107">
        <v>21</v>
      </c>
      <c r="F23" s="95" t="s">
        <v>203</v>
      </c>
      <c r="G23" s="100">
        <f>IF(D23="М",IFERROR(INDEX('Старт М'!$I$3:$I$101,MATCH('Ориентирование-сводная'!C23,'Старт М'!$C$3:$C$101,0)),""),IFERROR(INDEX('Старт Ж'!$I$3:$I$101,MATCH('Ориентирование-сводная'!C23,'Старт Ж'!$C$3:$C$101,0)),""))</f>
        <v>6.8252314814814807E-2</v>
      </c>
      <c r="H23" s="143">
        <f>SUM(G23:G26)</f>
        <v>0.32469907407407256</v>
      </c>
      <c r="I23" s="146" t="str">
        <f>INDEX($O$3:$O$34,MATCH($H$3:$H$82,$N$3:$N$34,0))</f>
        <v>VIII</v>
      </c>
      <c r="J23" s="149">
        <f>INDEX($P$3:$P$34,MATCH($H$3:$H$171,$N$3:$N$34,0))</f>
        <v>16</v>
      </c>
      <c r="L23" s="59"/>
      <c r="M23" s="127"/>
      <c r="N23" s="121"/>
      <c r="O23" s="59"/>
      <c r="P23" s="138"/>
    </row>
    <row r="24" spans="1:16" ht="20.100000000000001" customHeight="1" x14ac:dyDescent="0.3">
      <c r="A24" s="104">
        <v>6</v>
      </c>
      <c r="B24" s="135" t="s">
        <v>88</v>
      </c>
      <c r="C24" s="14" t="s">
        <v>96</v>
      </c>
      <c r="D24" s="110" t="s">
        <v>202</v>
      </c>
      <c r="E24" s="15">
        <v>22</v>
      </c>
      <c r="F24" s="8" t="s">
        <v>203</v>
      </c>
      <c r="G24" s="101">
        <f>IF(D24="М",IFERROR(INDEX('Старт М'!$I$3:$I$101,MATCH('Ориентирование-сводная'!C24,'Старт М'!$C$3:$C$101,0)),""),IFERROR(INDEX('Старт Ж'!$I$3:$I$101,MATCH('Ориентирование-сводная'!C24,'Старт Ж'!$C$3:$C$101,0)),""))</f>
        <v>7.4432870370370219E-2</v>
      </c>
      <c r="H24" s="144"/>
      <c r="I24" s="147"/>
      <c r="J24" s="150"/>
      <c r="L24" s="59"/>
      <c r="M24" s="127"/>
      <c r="N24" s="121"/>
      <c r="O24" s="59"/>
      <c r="P24" s="138"/>
    </row>
    <row r="25" spans="1:16" ht="20.100000000000001" customHeight="1" x14ac:dyDescent="0.3">
      <c r="A25" s="104">
        <v>6</v>
      </c>
      <c r="B25" s="135" t="s">
        <v>88</v>
      </c>
      <c r="C25" s="14" t="s">
        <v>97</v>
      </c>
      <c r="D25" s="110" t="s">
        <v>202</v>
      </c>
      <c r="E25" s="15">
        <v>23</v>
      </c>
      <c r="F25" s="8" t="s">
        <v>203</v>
      </c>
      <c r="G25" s="101">
        <f>IF(D25="М",IFERROR(INDEX('Старт М'!$I$3:$I$101,MATCH('Ориентирование-сводная'!C25,'Старт М'!$C$3:$C$101,0)),""),IFERROR(INDEX('Старт Ж'!$I$3:$I$101,MATCH('Ориентирование-сводная'!C25,'Старт Ж'!$C$3:$C$101,0)),""))</f>
        <v>5.6770833333332944E-2</v>
      </c>
      <c r="H25" s="144"/>
      <c r="I25" s="147"/>
      <c r="J25" s="150"/>
      <c r="L25" s="59"/>
      <c r="M25" s="127"/>
      <c r="N25" s="121"/>
      <c r="O25" s="59"/>
      <c r="P25" s="138"/>
    </row>
    <row r="26" spans="1:16" ht="20.100000000000001" customHeight="1" thickBot="1" x14ac:dyDescent="0.35">
      <c r="A26" s="105">
        <v>6</v>
      </c>
      <c r="B26" s="136" t="s">
        <v>88</v>
      </c>
      <c r="C26" s="123" t="s">
        <v>98</v>
      </c>
      <c r="D26" s="111" t="s">
        <v>202</v>
      </c>
      <c r="E26" s="108">
        <v>24</v>
      </c>
      <c r="F26" s="9" t="s">
        <v>202</v>
      </c>
      <c r="G26" s="102">
        <f>IF(D26="М",IFERROR(INDEX('Старт М'!$I$3:$I$101,MATCH('Ориентирование-сводная'!C26,'Старт М'!$C$3:$C$101,0)),""),IFERROR(INDEX('Старт Ж'!$I$3:$I$101,MATCH('Ориентирование-сводная'!C26,'Старт Ж'!$C$3:$C$101,0)),""))</f>
        <v>0.12524305555555459</v>
      </c>
      <c r="H26" s="145"/>
      <c r="I26" s="148"/>
      <c r="J26" s="151"/>
      <c r="L26" s="59"/>
      <c r="M26" s="127"/>
      <c r="N26" s="121"/>
      <c r="O26" s="59"/>
      <c r="P26" s="138"/>
    </row>
    <row r="27" spans="1:16" ht="20.100000000000001" customHeight="1" x14ac:dyDescent="0.3">
      <c r="A27" s="103">
        <v>7</v>
      </c>
      <c r="B27" s="133" t="s">
        <v>103</v>
      </c>
      <c r="C27" s="134" t="s">
        <v>108</v>
      </c>
      <c r="D27" s="109" t="s">
        <v>202</v>
      </c>
      <c r="E27" s="107">
        <v>25</v>
      </c>
      <c r="F27" s="95" t="s">
        <v>202</v>
      </c>
      <c r="G27" s="100">
        <f>IF(D27="М",IFERROR(INDEX('Старт М'!$I$3:$I$101,MATCH('Ориентирование-сводная'!C27,'Старт М'!$C$3:$C$101,0)),""),IFERROR(INDEX('Старт Ж'!$I$3:$I$101,MATCH('Ориентирование-сводная'!C27,'Старт Ж'!$C$3:$C$101,0)),""))</f>
        <v>6.9270833333333337E-2</v>
      </c>
      <c r="H27" s="143">
        <f>SUM(G27:G30)</f>
        <v>0.33304398148148051</v>
      </c>
      <c r="I27" s="146" t="str">
        <f>INDEX($O$3:$O$34,MATCH($H$3:$H$82,$N$3:$N$34,0))</f>
        <v>IX</v>
      </c>
      <c r="J27" s="149">
        <f>INDEX($P$3:$P$34,MATCH($H$3:$H$171,$N$3:$N$34,0))</f>
        <v>14</v>
      </c>
      <c r="L27" s="59"/>
      <c r="M27" s="127"/>
      <c r="N27" s="121"/>
      <c r="O27" s="59"/>
      <c r="P27" s="138"/>
    </row>
    <row r="28" spans="1:16" ht="20.100000000000001" customHeight="1" x14ac:dyDescent="0.3">
      <c r="A28" s="104">
        <v>7</v>
      </c>
      <c r="B28" s="135" t="s">
        <v>103</v>
      </c>
      <c r="C28" s="14" t="s">
        <v>109</v>
      </c>
      <c r="D28" s="110" t="s">
        <v>202</v>
      </c>
      <c r="E28" s="15">
        <v>26</v>
      </c>
      <c r="F28" s="8" t="s">
        <v>202</v>
      </c>
      <c r="G28" s="101">
        <f>IF(D28="М",IFERROR(INDEX('Старт М'!$I$3:$I$101,MATCH('Ориентирование-сводная'!C28,'Старт М'!$C$3:$C$101,0)),""),IFERROR(INDEX('Старт Ж'!$I$3:$I$101,MATCH('Ориентирование-сводная'!C28,'Старт Ж'!$C$3:$C$101,0)),""))</f>
        <v>5.8935185185185084E-2</v>
      </c>
      <c r="H28" s="144"/>
      <c r="I28" s="147"/>
      <c r="J28" s="150"/>
      <c r="L28" s="59"/>
      <c r="M28" s="127"/>
      <c r="N28" s="121"/>
      <c r="O28" s="59"/>
      <c r="P28" s="138"/>
    </row>
    <row r="29" spans="1:16" ht="20.100000000000001" customHeight="1" x14ac:dyDescent="0.3">
      <c r="A29" s="104">
        <v>7</v>
      </c>
      <c r="B29" s="135" t="s">
        <v>103</v>
      </c>
      <c r="C29" s="14" t="s">
        <v>110</v>
      </c>
      <c r="D29" s="110" t="s">
        <v>202</v>
      </c>
      <c r="E29" s="15">
        <v>27</v>
      </c>
      <c r="F29" s="8" t="s">
        <v>202</v>
      </c>
      <c r="G29" s="101">
        <f>IF(D29="М",IFERROR(INDEX('Старт М'!$I$3:$I$101,MATCH('Ориентирование-сводная'!C29,'Старт М'!$C$3:$C$101,0)),""),IFERROR(INDEX('Старт Ж'!$I$3:$I$101,MATCH('Ориентирование-сводная'!C29,'Старт Ж'!$C$3:$C$101,0)),""))</f>
        <v>6.8182870370369908E-2</v>
      </c>
      <c r="H29" s="144"/>
      <c r="I29" s="147"/>
      <c r="J29" s="150"/>
      <c r="L29" s="59"/>
      <c r="M29" s="127"/>
      <c r="N29" s="121"/>
      <c r="O29" s="59"/>
      <c r="P29" s="138"/>
    </row>
    <row r="30" spans="1:16" ht="20.100000000000001" customHeight="1" thickBot="1" x14ac:dyDescent="0.35">
      <c r="A30" s="105">
        <v>7</v>
      </c>
      <c r="B30" s="136" t="s">
        <v>103</v>
      </c>
      <c r="C30" s="123" t="s">
        <v>115</v>
      </c>
      <c r="D30" s="111" t="s">
        <v>202</v>
      </c>
      <c r="E30" s="108">
        <v>28</v>
      </c>
      <c r="F30" s="9" t="s">
        <v>203</v>
      </c>
      <c r="G30" s="102">
        <f>IF(D30="М",IFERROR(INDEX('Старт М'!$I$3:$I$101,MATCH('Ориентирование-сводная'!C30,'Старт М'!$C$3:$C$101,0)),""),IFERROR(INDEX('Старт Ж'!$I$3:$I$101,MATCH('Ориентирование-сводная'!C30,'Старт Ж'!$C$3:$C$101,0)),""))</f>
        <v>0.1366550925925922</v>
      </c>
      <c r="H30" s="145"/>
      <c r="I30" s="148"/>
      <c r="J30" s="151"/>
      <c r="L30" s="59"/>
      <c r="M30" s="127"/>
      <c r="N30" s="121"/>
      <c r="O30" s="59"/>
      <c r="P30" s="138"/>
    </row>
    <row r="31" spans="1:16" ht="20.100000000000001" customHeight="1" x14ac:dyDescent="0.3">
      <c r="A31" s="103">
        <v>8</v>
      </c>
      <c r="B31" s="133" t="s">
        <v>120</v>
      </c>
      <c r="C31" s="134" t="s">
        <v>125</v>
      </c>
      <c r="D31" s="109" t="s">
        <v>202</v>
      </c>
      <c r="E31" s="107">
        <v>29</v>
      </c>
      <c r="F31" s="95" t="s">
        <v>202</v>
      </c>
      <c r="G31" s="100">
        <f>IF(D31="М",IFERROR(INDEX('Старт М'!$I$3:$I$101,MATCH('Ориентирование-сводная'!C31,'Старт М'!$C$3:$C$101,0)),""),IFERROR(INDEX('Старт Ж'!$I$3:$I$101,MATCH('Ориентирование-сводная'!C31,'Старт Ж'!$C$3:$C$101,0)),""))</f>
        <v>8.0682870370370363E-2</v>
      </c>
      <c r="H31" s="143">
        <f>SUM(G31:G34)</f>
        <v>0.3435300925925926</v>
      </c>
      <c r="I31" s="146" t="str">
        <f>INDEX($O$3:$O$34,MATCH($H$3:$H$82,$N$3:$N$34,0))</f>
        <v>X</v>
      </c>
      <c r="J31" s="149">
        <f>INDEX($P$3:$P$34,MATCH($H$3:$H$171,$N$3:$N$34,0))</f>
        <v>12</v>
      </c>
      <c r="L31" s="59"/>
      <c r="M31" s="127"/>
      <c r="N31" s="121"/>
      <c r="O31" s="59"/>
      <c r="P31" s="138"/>
    </row>
    <row r="32" spans="1:16" ht="20.100000000000001" customHeight="1" x14ac:dyDescent="0.3">
      <c r="A32" s="104">
        <v>8</v>
      </c>
      <c r="B32" s="135" t="s">
        <v>120</v>
      </c>
      <c r="C32" s="14" t="s">
        <v>126</v>
      </c>
      <c r="D32" s="110" t="s">
        <v>203</v>
      </c>
      <c r="E32" s="15">
        <v>30</v>
      </c>
      <c r="F32" s="8" t="s">
        <v>202</v>
      </c>
      <c r="G32" s="101">
        <f>IF(D32="М",IFERROR(INDEX('Старт М'!$I$3:$I$101,MATCH('Ориентирование-сводная'!C32,'Старт М'!$C$3:$C$101,0)),""),IFERROR(INDEX('Старт Ж'!$I$3:$I$101,MATCH('Ориентирование-сводная'!C32,'Старт Ж'!$C$3:$C$101,0)),""))</f>
        <v>0.13116898148148148</v>
      </c>
      <c r="H32" s="144"/>
      <c r="I32" s="147"/>
      <c r="J32" s="150"/>
      <c r="L32" s="59"/>
      <c r="M32" s="127"/>
      <c r="N32" s="121"/>
      <c r="O32" s="59"/>
      <c r="P32" s="138"/>
    </row>
    <row r="33" spans="1:16" ht="20.100000000000001" customHeight="1" x14ac:dyDescent="0.3">
      <c r="A33" s="104">
        <v>8</v>
      </c>
      <c r="B33" s="135" t="s">
        <v>120</v>
      </c>
      <c r="C33" s="14" t="s">
        <v>127</v>
      </c>
      <c r="D33" s="110" t="s">
        <v>203</v>
      </c>
      <c r="E33" s="15">
        <v>31</v>
      </c>
      <c r="F33" s="8" t="s">
        <v>203</v>
      </c>
      <c r="G33" s="101">
        <f>IF(D33="М",IFERROR(INDEX('Старт М'!$I$3:$I$101,MATCH('Ориентирование-сводная'!C33,'Старт М'!$C$3:$C$101,0)),""),IFERROR(INDEX('Старт Ж'!$I$3:$I$101,MATCH('Ориентирование-сводная'!C33,'Старт Ж'!$C$3:$C$101,0)),""))</f>
        <v>6.5185185185185179E-2</v>
      </c>
      <c r="H33" s="144"/>
      <c r="I33" s="147"/>
      <c r="J33" s="150"/>
      <c r="L33" s="59"/>
      <c r="M33" s="127"/>
      <c r="N33" s="59"/>
      <c r="O33" s="59"/>
      <c r="P33" s="138"/>
    </row>
    <row r="34" spans="1:16" ht="20.100000000000001" customHeight="1" thickBot="1" x14ac:dyDescent="0.35">
      <c r="A34" s="106">
        <v>8</v>
      </c>
      <c r="B34" s="136" t="s">
        <v>120</v>
      </c>
      <c r="C34" s="123" t="s">
        <v>128</v>
      </c>
      <c r="D34" s="111" t="s">
        <v>203</v>
      </c>
      <c r="E34" s="108">
        <v>32</v>
      </c>
      <c r="F34" s="9" t="s">
        <v>202</v>
      </c>
      <c r="G34" s="102">
        <f>IF(D34="М",IFERROR(INDEX('Старт М'!$I$3:$I$101,MATCH('Ориентирование-сводная'!C34,'Старт М'!$C$3:$C$101,0)),""),IFERROR(INDEX('Старт Ж'!$I$3:$I$101,MATCH('Ориентирование-сводная'!C34,'Старт Ж'!$C$3:$C$101,0)),""))</f>
        <v>6.6493055555555569E-2</v>
      </c>
      <c r="H34" s="145"/>
      <c r="I34" s="148"/>
      <c r="J34" s="151"/>
      <c r="L34" s="59"/>
      <c r="M34" s="127"/>
      <c r="N34" s="59"/>
      <c r="O34" s="59"/>
      <c r="P34" s="138"/>
    </row>
    <row r="35" spans="1:16" ht="20.100000000000001" customHeight="1" x14ac:dyDescent="0.3">
      <c r="A35" s="103">
        <v>9</v>
      </c>
      <c r="B35" s="133" t="s">
        <v>136</v>
      </c>
      <c r="C35" s="134" t="s">
        <v>137</v>
      </c>
      <c r="D35" s="109" t="s">
        <v>202</v>
      </c>
      <c r="E35" s="107">
        <v>33</v>
      </c>
      <c r="F35" s="95"/>
      <c r="G35" s="100">
        <f>IF(D35="М",IFERROR(INDEX('Старт М'!$I$3:$I$101,MATCH('Ориентирование-сводная'!C35,'Старт М'!$C$3:$C$101,0)),""),IFERROR(INDEX('Старт Ж'!$I$3:$I$101,MATCH('Ориентирование-сводная'!C35,'Старт Ж'!$C$3:$C$101,0)),""))</f>
        <v>6.5185185185185179E-2</v>
      </c>
      <c r="H35" s="143">
        <f t="shared" ref="H35" si="2">SUM(G35:G38)</f>
        <v>0.27776620370370292</v>
      </c>
      <c r="I35" s="146" t="str">
        <f>INDEX($O$3:$O$34,MATCH($H$3:$H$82,$N$3:$N$34,0))</f>
        <v>VI</v>
      </c>
      <c r="J35" s="149">
        <f>INDEX($P$3:$P$34,MATCH($H$3:$H$171,$N$3:$N$34,0))</f>
        <v>20</v>
      </c>
    </row>
    <row r="36" spans="1:16" s="20" customFormat="1" ht="20.100000000000001" customHeight="1" x14ac:dyDescent="0.3">
      <c r="A36" s="104">
        <v>9</v>
      </c>
      <c r="B36" s="135" t="s">
        <v>136</v>
      </c>
      <c r="C36" s="14" t="s">
        <v>138</v>
      </c>
      <c r="D36" s="110" t="s">
        <v>202</v>
      </c>
      <c r="E36" s="15">
        <v>34</v>
      </c>
      <c r="F36" s="8"/>
      <c r="G36" s="101">
        <f>IF(D36="М",IFERROR(INDEX('Старт М'!$I$3:$I$101,MATCH('Ориентирование-сводная'!C36,'Старт М'!$C$3:$C$101,0)),""),IFERROR(INDEX('Старт Ж'!$I$3:$I$101,MATCH('Ориентирование-сводная'!C36,'Старт Ж'!$C$3:$C$101,0)),""))</f>
        <v>7.3171296296296123E-2</v>
      </c>
      <c r="H36" s="144"/>
      <c r="I36" s="147"/>
      <c r="J36" s="150"/>
      <c r="K36" s="10"/>
      <c r="L36" s="11"/>
      <c r="M36" s="124"/>
      <c r="N36" s="11"/>
      <c r="P36" s="139"/>
    </row>
    <row r="37" spans="1:16" s="20" customFormat="1" ht="20.100000000000001" customHeight="1" x14ac:dyDescent="0.3">
      <c r="A37" s="104">
        <v>9</v>
      </c>
      <c r="B37" s="135" t="s">
        <v>136</v>
      </c>
      <c r="C37" s="14" t="s">
        <v>139</v>
      </c>
      <c r="D37" s="110" t="s">
        <v>202</v>
      </c>
      <c r="E37" s="15">
        <v>35</v>
      </c>
      <c r="F37" s="8"/>
      <c r="G37" s="101">
        <f>IF(D37="М",IFERROR(INDEX('Старт М'!$I$3:$I$101,MATCH('Ориентирование-сводная'!C37,'Старт М'!$C$3:$C$101,0)),""),IFERROR(INDEX('Старт Ж'!$I$3:$I$101,MATCH('Ориентирование-сводная'!C37,'Старт Ж'!$C$3:$C$101,0)),""))</f>
        <v>7.9594907407406795E-2</v>
      </c>
      <c r="H37" s="144"/>
      <c r="I37" s="147"/>
      <c r="J37" s="150"/>
      <c r="K37" s="10"/>
      <c r="L37" s="11"/>
      <c r="M37" s="124"/>
      <c r="N37" s="11"/>
      <c r="P37" s="139"/>
    </row>
    <row r="38" spans="1:16" s="20" customFormat="1" ht="20.100000000000001" customHeight="1" thickBot="1" x14ac:dyDescent="0.35">
      <c r="A38" s="105">
        <v>9</v>
      </c>
      <c r="B38" s="136" t="s">
        <v>136</v>
      </c>
      <c r="C38" s="123" t="s">
        <v>141</v>
      </c>
      <c r="D38" s="111" t="s">
        <v>203</v>
      </c>
      <c r="E38" s="108">
        <v>36</v>
      </c>
      <c r="F38" s="9"/>
      <c r="G38" s="102">
        <f>IF(D38="М",IFERROR(INDEX('Старт М'!$I$3:$I$101,MATCH('Ориентирование-сводная'!C38,'Старт М'!$C$3:$C$101,0)),""),IFERROR(INDEX('Старт Ж'!$I$3:$I$101,MATCH('Ориентирование-сводная'!C38,'Старт Ж'!$C$3:$C$101,0)),""))</f>
        <v>5.9814814814814814E-2</v>
      </c>
      <c r="H38" s="145"/>
      <c r="I38" s="148"/>
      <c r="J38" s="151"/>
      <c r="K38" s="10"/>
      <c r="L38" s="11"/>
      <c r="M38" s="124"/>
      <c r="N38" s="11"/>
      <c r="P38" s="139"/>
    </row>
    <row r="39" spans="1:16" s="20" customFormat="1" ht="20.100000000000001" customHeight="1" x14ac:dyDescent="0.3">
      <c r="A39" s="103">
        <v>10</v>
      </c>
      <c r="B39" s="133" t="s">
        <v>153</v>
      </c>
      <c r="C39" s="134" t="s">
        <v>156</v>
      </c>
      <c r="D39" s="109" t="s">
        <v>202</v>
      </c>
      <c r="E39" s="107">
        <v>37</v>
      </c>
      <c r="F39" s="95"/>
      <c r="G39" s="100">
        <f>IF(D39="М",IFERROR(INDEX('Старт М'!$I$3:$I$101,MATCH('Ориентирование-сводная'!C39,'Старт М'!$C$3:$C$101,0)),""),IFERROR(INDEX('Старт Ж'!$I$3:$I$101,MATCH('Ориентирование-сводная'!C39,'Старт Ж'!$C$3:$C$101,0)),""))</f>
        <v>7.9421296296296295E-2</v>
      </c>
      <c r="H39" s="143">
        <f t="shared" ref="H39" si="3">SUM(G39:G42)</f>
        <v>0.30499999999999999</v>
      </c>
      <c r="I39" s="146" t="str">
        <f>INDEX($O$3:$O$34,MATCH($H$3:$H$82,$N$3:$N$34,0))</f>
        <v>VII</v>
      </c>
      <c r="J39" s="149">
        <f>INDEX($P$3:$P$34,MATCH($H$3:$H$171,$N$3:$N$34,0))</f>
        <v>18</v>
      </c>
      <c r="K39" s="10"/>
      <c r="L39" s="11"/>
      <c r="M39" s="124"/>
      <c r="N39" s="11"/>
      <c r="P39" s="139"/>
    </row>
    <row r="40" spans="1:16" s="20" customFormat="1" ht="20.100000000000001" customHeight="1" x14ac:dyDescent="0.3">
      <c r="A40" s="104">
        <v>10</v>
      </c>
      <c r="B40" s="135" t="s">
        <v>153</v>
      </c>
      <c r="C40" s="14" t="s">
        <v>161</v>
      </c>
      <c r="D40" s="110" t="s">
        <v>203</v>
      </c>
      <c r="E40" s="15">
        <v>38</v>
      </c>
      <c r="F40" s="8"/>
      <c r="G40" s="101">
        <f>IF(D40="М",IFERROR(INDEX('Старт М'!$I$3:$I$101,MATCH('Ориентирование-сводная'!C40,'Старт М'!$C$3:$C$101,0)),""),IFERROR(INDEX('Старт Ж'!$I$3:$I$101,MATCH('Ориентирование-сводная'!C40,'Старт Ж'!$C$3:$C$101,0)),""))</f>
        <v>6.8252314814814807E-2</v>
      </c>
      <c r="H40" s="144"/>
      <c r="I40" s="147"/>
      <c r="J40" s="150"/>
      <c r="K40" s="10"/>
      <c r="L40" s="11"/>
      <c r="M40" s="124"/>
      <c r="N40" s="11"/>
      <c r="P40" s="139"/>
    </row>
    <row r="41" spans="1:16" s="20" customFormat="1" ht="20.100000000000001" customHeight="1" x14ac:dyDescent="0.3">
      <c r="A41" s="104">
        <v>10</v>
      </c>
      <c r="B41" s="135" t="s">
        <v>153</v>
      </c>
      <c r="C41" s="14" t="s">
        <v>162</v>
      </c>
      <c r="D41" s="110" t="s">
        <v>203</v>
      </c>
      <c r="E41" s="15">
        <v>39</v>
      </c>
      <c r="F41" s="8"/>
      <c r="G41" s="101">
        <f>IF(D41="М",IFERROR(INDEX('Старт М'!$I$3:$I$101,MATCH('Ориентирование-сводная'!C41,'Старт М'!$C$3:$C$101,0)),""),IFERROR(INDEX('Старт Ж'!$I$3:$I$101,MATCH('Ориентирование-сводная'!C41,'Старт Ж'!$C$3:$C$101,0)),""))</f>
        <v>7.9421296296296295E-2</v>
      </c>
      <c r="H41" s="144"/>
      <c r="I41" s="147"/>
      <c r="J41" s="150"/>
      <c r="K41" s="10"/>
      <c r="L41" s="11"/>
      <c r="M41" s="124"/>
      <c r="N41" s="11"/>
      <c r="P41" s="139"/>
    </row>
    <row r="42" spans="1:16" s="20" customFormat="1" ht="20.100000000000001" customHeight="1" thickBot="1" x14ac:dyDescent="0.35">
      <c r="A42" s="105">
        <v>10</v>
      </c>
      <c r="B42" s="136" t="s">
        <v>153</v>
      </c>
      <c r="C42" s="123" t="s">
        <v>164</v>
      </c>
      <c r="D42" s="111" t="s">
        <v>203</v>
      </c>
      <c r="E42" s="108">
        <v>40</v>
      </c>
      <c r="F42" s="9"/>
      <c r="G42" s="102">
        <f>IF(D42="М",IFERROR(INDEX('Старт М'!$I$3:$I$101,MATCH('Ориентирование-сводная'!C42,'Старт М'!$C$3:$C$101,0)),""),IFERROR(INDEX('Старт Ж'!$I$3:$I$101,MATCH('Ориентирование-сводная'!C42,'Старт Ж'!$C$3:$C$101,0)),""))</f>
        <v>7.7905092592592581E-2</v>
      </c>
      <c r="H42" s="145"/>
      <c r="I42" s="148"/>
      <c r="J42" s="151"/>
      <c r="K42" s="10"/>
      <c r="L42" s="11"/>
      <c r="M42" s="124"/>
      <c r="N42" s="11"/>
      <c r="P42" s="139"/>
    </row>
    <row r="43" spans="1:16" s="20" customFormat="1" ht="20.100000000000001" customHeight="1" x14ac:dyDescent="0.3">
      <c r="A43" s="103">
        <v>11</v>
      </c>
      <c r="B43" s="133" t="s">
        <v>172</v>
      </c>
      <c r="C43" s="134" t="s">
        <v>178</v>
      </c>
      <c r="D43" s="109" t="s">
        <v>202</v>
      </c>
      <c r="E43" s="107">
        <v>41</v>
      </c>
      <c r="F43" s="97"/>
      <c r="G43" s="100">
        <f>IF(D43="М",IFERROR(INDEX('Старт М'!$I$3:$I$101,MATCH('Ориентирование-сводная'!C43,'Старт М'!$C$3:$C$101,0)),""),IFERROR(INDEX('Старт Ж'!$I$3:$I$101,MATCH('Ориентирование-сводная'!C43,'Старт Ж'!$C$3:$C$101,0)),""))</f>
        <v>5.9317129629629629E-2</v>
      </c>
      <c r="H43" s="143">
        <f t="shared" ref="H43" si="4">SUM(G43:G46)</f>
        <v>0.27266203703703651</v>
      </c>
      <c r="I43" s="146" t="str">
        <f>INDEX($O$3:$O$34,MATCH($H$3:$H$82,$N$3:$N$34,0))</f>
        <v>V</v>
      </c>
      <c r="J43" s="149">
        <f>INDEX($P$3:$P$34,MATCH($H$3:$H$171,$N$3:$N$34,0))</f>
        <v>22</v>
      </c>
      <c r="K43" s="10"/>
      <c r="L43" s="11"/>
      <c r="M43" s="124"/>
      <c r="N43" s="11"/>
      <c r="P43" s="139"/>
    </row>
    <row r="44" spans="1:16" s="20" customFormat="1" ht="20.100000000000001" customHeight="1" x14ac:dyDescent="0.3">
      <c r="A44" s="104">
        <v>11</v>
      </c>
      <c r="B44" s="135" t="s">
        <v>172</v>
      </c>
      <c r="C44" s="14" t="s">
        <v>179</v>
      </c>
      <c r="D44" s="110" t="s">
        <v>202</v>
      </c>
      <c r="E44" s="15">
        <v>42</v>
      </c>
      <c r="F44" s="98"/>
      <c r="G44" s="101">
        <f>IF(D44="М",IFERROR(INDEX('Старт М'!$I$3:$I$101,MATCH('Ориентирование-сводная'!C44,'Старт М'!$C$3:$C$101,0)),""),IFERROR(INDEX('Старт Ж'!$I$3:$I$101,MATCH('Ориентирование-сводная'!C44,'Старт Ж'!$C$3:$C$101,0)),""))</f>
        <v>5.3067129629629409E-2</v>
      </c>
      <c r="H44" s="144"/>
      <c r="I44" s="147"/>
      <c r="J44" s="150"/>
      <c r="K44" s="10"/>
      <c r="L44" s="11"/>
      <c r="M44" s="124"/>
      <c r="N44" s="11"/>
      <c r="P44" s="139"/>
    </row>
    <row r="45" spans="1:16" s="20" customFormat="1" ht="20.100000000000001" customHeight="1" x14ac:dyDescent="0.3">
      <c r="A45" s="104">
        <v>11</v>
      </c>
      <c r="B45" s="135" t="s">
        <v>172</v>
      </c>
      <c r="C45" s="14" t="s">
        <v>181</v>
      </c>
      <c r="D45" s="110" t="s">
        <v>202</v>
      </c>
      <c r="E45" s="15">
        <v>43</v>
      </c>
      <c r="F45" s="98"/>
      <c r="G45" s="101">
        <f>IF(D45="М",IFERROR(INDEX('Старт М'!$I$3:$I$101,MATCH('Ориентирование-сводная'!C45,'Старт М'!$C$3:$C$101,0)),""),IFERROR(INDEX('Старт Ж'!$I$3:$I$101,MATCH('Ориентирование-сводная'!C45,'Старт Ж'!$C$3:$C$101,0)),""))</f>
        <v>9.1006944444444099E-2</v>
      </c>
      <c r="H45" s="144"/>
      <c r="I45" s="147"/>
      <c r="J45" s="150"/>
      <c r="K45" s="10"/>
      <c r="L45" s="11"/>
      <c r="M45" s="124"/>
      <c r="N45" s="11"/>
      <c r="P45" s="139"/>
    </row>
    <row r="46" spans="1:16" s="20" customFormat="1" ht="20.100000000000001" customHeight="1" thickBot="1" x14ac:dyDescent="0.35">
      <c r="A46" s="105">
        <v>11</v>
      </c>
      <c r="B46" s="136" t="s">
        <v>172</v>
      </c>
      <c r="C46" s="123" t="s">
        <v>186</v>
      </c>
      <c r="D46" s="111" t="s">
        <v>203</v>
      </c>
      <c r="E46" s="108">
        <v>44</v>
      </c>
      <c r="F46" s="99"/>
      <c r="G46" s="102">
        <f>IF(D46="М",IFERROR(INDEX('Старт М'!$I$3:$I$101,MATCH('Ориентирование-сводная'!C46,'Старт М'!$C$3:$C$101,0)),""),IFERROR(INDEX('Старт Ж'!$I$3:$I$101,MATCH('Ориентирование-сводная'!C46,'Старт Ж'!$C$3:$C$101,0)),""))</f>
        <v>6.9270833333333337E-2</v>
      </c>
      <c r="H46" s="145"/>
      <c r="I46" s="148"/>
      <c r="J46" s="151"/>
      <c r="K46" s="10"/>
      <c r="L46" s="11"/>
      <c r="M46" s="124"/>
      <c r="N46" s="11"/>
      <c r="P46" s="139"/>
    </row>
    <row r="47" spans="1:16" s="20" customFormat="1" ht="20.100000000000001" customHeight="1" x14ac:dyDescent="0.3">
      <c r="A47" s="103">
        <v>12</v>
      </c>
      <c r="B47" s="133" t="s">
        <v>243</v>
      </c>
      <c r="C47" s="134" t="s">
        <v>245</v>
      </c>
      <c r="D47" s="109" t="s">
        <v>203</v>
      </c>
      <c r="E47" s="107">
        <v>45</v>
      </c>
      <c r="F47" s="97"/>
      <c r="G47" s="100">
        <f>IF(D47="М",IFERROR(INDEX('Старт М'!$I$3:$I$101,MATCH('Ориентирование-сводная'!C47,'Старт М'!$C$3:$C$101,0)),""),IFERROR(INDEX('Старт Ж'!$I$3:$I$101,MATCH('Ориентирование-сводная'!C47,'Старт Ж'!$C$3:$C$101,0)),""))</f>
        <v>6.5104166666666685E-2</v>
      </c>
      <c r="H47" s="143">
        <f t="shared" ref="H47" si="5">SUM(G47:G50)</f>
        <v>0.2596064814814798</v>
      </c>
      <c r="I47" s="146" t="str">
        <f t="shared" ref="I47" si="6">INDEX($O$3:$O$34,MATCH($H$3:$H$82,$N$3:$N$34,0))</f>
        <v>IV</v>
      </c>
      <c r="J47" s="149">
        <f t="shared" ref="J47" si="7">INDEX($P$3:$P$34,MATCH($H$3:$H$171,$N$3:$N$34,0))</f>
        <v>24</v>
      </c>
      <c r="K47" s="10"/>
      <c r="L47" s="11"/>
      <c r="M47" s="124"/>
      <c r="N47" s="11"/>
      <c r="P47" s="139"/>
    </row>
    <row r="48" spans="1:16" s="20" customFormat="1" ht="20.100000000000001" customHeight="1" x14ac:dyDescent="0.3">
      <c r="A48" s="104"/>
      <c r="B48" s="135" t="s">
        <v>243</v>
      </c>
      <c r="C48" s="14" t="s">
        <v>249</v>
      </c>
      <c r="D48" s="110" t="s">
        <v>202</v>
      </c>
      <c r="E48" s="15">
        <v>46</v>
      </c>
      <c r="F48" s="98"/>
      <c r="G48" s="101">
        <f>IF(D48="М",IFERROR(INDEX('Старт М'!$I$3:$I$101,MATCH('Ориентирование-сводная'!C48,'Старт М'!$C$3:$C$101,0)),""),IFERROR(INDEX('Старт Ж'!$I$3:$I$101,MATCH('Ориентирование-сводная'!C48,'Старт Ж'!$C$3:$C$101,0)),""))</f>
        <v>0.1480671296296287</v>
      </c>
      <c r="H48" s="144"/>
      <c r="I48" s="147"/>
      <c r="J48" s="150"/>
      <c r="K48" s="10"/>
      <c r="L48" s="11"/>
      <c r="M48" s="124"/>
      <c r="N48" s="11"/>
      <c r="P48" s="139"/>
    </row>
    <row r="49" spans="1:16" s="20" customFormat="1" ht="20.100000000000001" customHeight="1" x14ac:dyDescent="0.3">
      <c r="A49" s="104"/>
      <c r="B49" s="135" t="s">
        <v>243</v>
      </c>
      <c r="C49" s="14" t="s">
        <v>251</v>
      </c>
      <c r="D49" s="110" t="s">
        <v>202</v>
      </c>
      <c r="E49" s="15">
        <v>47</v>
      </c>
      <c r="F49" s="98"/>
      <c r="G49" s="101">
        <f>IF(D49="М",IFERROR(INDEX('Старт М'!$I$3:$I$101,MATCH('Ориентирование-сводная'!C49,'Старт М'!$C$3:$C$101,0)),""),IFERROR(INDEX('Старт Ж'!$I$3:$I$101,MATCH('Ориентирование-сводная'!C49,'Старт Ж'!$C$3:$C$101,0)),""))</f>
        <v>4.6435185185184386E-2</v>
      </c>
      <c r="H49" s="144"/>
      <c r="I49" s="147"/>
      <c r="J49" s="150"/>
      <c r="K49" s="10"/>
      <c r="L49" s="11"/>
      <c r="M49" s="124"/>
      <c r="N49" s="11"/>
      <c r="P49" s="139"/>
    </row>
    <row r="50" spans="1:16" s="20" customFormat="1" ht="20.100000000000001" customHeight="1" thickBot="1" x14ac:dyDescent="0.35">
      <c r="A50" s="105"/>
      <c r="B50" s="136"/>
      <c r="C50" s="123"/>
      <c r="D50" s="111"/>
      <c r="E50" s="108">
        <v>48</v>
      </c>
      <c r="F50" s="99"/>
      <c r="G50" s="102" t="str">
        <f>IF(D50="М",IFERROR(INDEX('Старт М'!$I$3:$I$101,MATCH('Ориентирование-сводная'!C50,'Старт М'!$C$3:$C$101,0)),""),IFERROR(INDEX('Старт Ж'!$I$3:$I$101,MATCH('Ориентирование-сводная'!C50,'Старт Ж'!$C$3:$C$101,0)),""))</f>
        <v/>
      </c>
      <c r="H50" s="145"/>
      <c r="I50" s="148"/>
      <c r="J50" s="151"/>
      <c r="K50" s="10"/>
      <c r="L50" s="11"/>
      <c r="M50" s="124"/>
      <c r="N50" s="11"/>
      <c r="P50" s="139"/>
    </row>
    <row r="51" spans="1:16" s="20" customFormat="1" ht="20.100000000000001" customHeight="1" x14ac:dyDescent="0.3">
      <c r="A51" s="103">
        <v>13</v>
      </c>
      <c r="B51" s="133" t="s">
        <v>258</v>
      </c>
      <c r="C51" s="134" t="s">
        <v>259</v>
      </c>
      <c r="D51" s="109" t="s">
        <v>202</v>
      </c>
      <c r="E51" s="107">
        <v>49</v>
      </c>
      <c r="F51" s="97"/>
      <c r="G51" s="100">
        <f>IF(D51="М",IFERROR(INDEX('Старт М'!$I$3:$I$101,MATCH('Ориентирование-сводная'!C51,'Старт М'!$C$3:$C$101,0)),""),IFERROR(INDEX('Старт Ж'!$I$3:$I$101,MATCH('Ориентирование-сводная'!C51,'Старт Ж'!$C$3:$C$101,0)),""))</f>
        <v>5.052083333333264E-2</v>
      </c>
      <c r="H51" s="143">
        <f t="shared" ref="H51" si="8">SUM(G51:G54)</f>
        <v>0.18805555555555492</v>
      </c>
      <c r="I51" s="146" t="str">
        <f t="shared" ref="I51" si="9">INDEX($O$3:$O$34,MATCH($H$3:$H$82,$N$3:$N$34,0))</f>
        <v>I</v>
      </c>
      <c r="J51" s="149">
        <f t="shared" ref="J51" si="10">INDEX($P$3:$P$34,MATCH($H$3:$H$171,$N$3:$N$34,0))</f>
        <v>30</v>
      </c>
      <c r="K51" s="10"/>
      <c r="L51" s="11"/>
      <c r="M51" s="124"/>
      <c r="N51" s="11"/>
      <c r="P51" s="139"/>
    </row>
    <row r="52" spans="1:16" s="20" customFormat="1" ht="20.100000000000001" customHeight="1" x14ac:dyDescent="0.3">
      <c r="A52" s="104"/>
      <c r="B52" s="135" t="s">
        <v>258</v>
      </c>
      <c r="C52" s="14" t="s">
        <v>260</v>
      </c>
      <c r="D52" s="110" t="s">
        <v>203</v>
      </c>
      <c r="E52" s="15">
        <v>50</v>
      </c>
      <c r="F52" s="98"/>
      <c r="G52" s="101">
        <f>IF(D52="М",IFERROR(INDEX('Старт М'!$I$3:$I$101,MATCH('Ориентирование-сводная'!C52,'Старт М'!$C$3:$C$101,0)),""),IFERROR(INDEX('Старт Ж'!$I$3:$I$101,MATCH('Ориентирование-сводная'!C52,'Старт Ж'!$C$3:$C$101,0)),""))</f>
        <v>7.6516203703703711E-2</v>
      </c>
      <c r="H52" s="144"/>
      <c r="I52" s="147"/>
      <c r="J52" s="150"/>
      <c r="K52" s="10"/>
      <c r="L52" s="11"/>
      <c r="M52" s="124"/>
      <c r="N52" s="11"/>
      <c r="P52" s="139"/>
    </row>
    <row r="53" spans="1:16" s="20" customFormat="1" ht="20.100000000000001" customHeight="1" x14ac:dyDescent="0.3">
      <c r="A53" s="104"/>
      <c r="B53" s="135" t="s">
        <v>258</v>
      </c>
      <c r="C53" s="14" t="s">
        <v>270</v>
      </c>
      <c r="D53" s="110" t="s">
        <v>203</v>
      </c>
      <c r="E53" s="15">
        <v>51</v>
      </c>
      <c r="F53" s="98"/>
      <c r="G53" s="101">
        <f>IF(D53="М",IFERROR(INDEX('Старт М'!$I$3:$I$101,MATCH('Ориентирование-сводная'!C53,'Старт М'!$C$3:$C$101,0)),""),IFERROR(INDEX('Старт Ж'!$I$3:$I$101,MATCH('Ориентирование-сводная'!C53,'Старт Ж'!$C$3:$C$101,0)),""))</f>
        <v>6.1018518518518583E-2</v>
      </c>
      <c r="H53" s="144"/>
      <c r="I53" s="147"/>
      <c r="J53" s="150"/>
      <c r="K53" s="10"/>
      <c r="L53" s="11"/>
      <c r="M53" s="124"/>
      <c r="N53" s="11"/>
      <c r="P53" s="139"/>
    </row>
    <row r="54" spans="1:16" s="20" customFormat="1" ht="20.100000000000001" customHeight="1" thickBot="1" x14ac:dyDescent="0.35">
      <c r="A54" s="105"/>
      <c r="B54" s="136"/>
      <c r="C54" s="123"/>
      <c r="D54" s="111"/>
      <c r="E54" s="108">
        <v>52</v>
      </c>
      <c r="F54" s="99"/>
      <c r="G54" s="102" t="str">
        <f>IF(D54="М",IFERROR(INDEX('Старт М'!$I$3:$I$101,MATCH('Ориентирование-сводная'!C54,'Старт М'!$C$3:$C$101,0)),""),IFERROR(INDEX('Старт Ж'!$I$3:$I$101,MATCH('Ориентирование-сводная'!C54,'Старт Ж'!$C$3:$C$101,0)),""))</f>
        <v/>
      </c>
      <c r="H54" s="145"/>
      <c r="I54" s="148"/>
      <c r="J54" s="151"/>
      <c r="K54" s="10"/>
      <c r="L54" s="11"/>
      <c r="M54" s="124"/>
      <c r="N54" s="11"/>
      <c r="P54" s="139"/>
    </row>
    <row r="55" spans="1:16" s="20" customFormat="1" ht="20.100000000000001" customHeight="1" x14ac:dyDescent="0.3">
      <c r="A55" s="103">
        <v>14</v>
      </c>
      <c r="B55" s="133" t="s">
        <v>274</v>
      </c>
      <c r="C55" s="134" t="s">
        <v>277</v>
      </c>
      <c r="D55" s="109" t="s">
        <v>202</v>
      </c>
      <c r="E55" s="107">
        <v>53</v>
      </c>
      <c r="F55" s="97"/>
      <c r="G55" s="100">
        <f>IF(D55="М",IFERROR(INDEX('Старт М'!$I$3:$I$101,MATCH('Ориентирование-сводная'!C55,'Старт М'!$C$3:$C$101,0)),""),IFERROR(INDEX('Старт Ж'!$I$3:$I$101,MATCH('Ориентирование-сводная'!C55,'Старт Ж'!$C$3:$C$101,0)),""))</f>
        <v>6.0671296296295529E-2</v>
      </c>
      <c r="H55" s="143">
        <f t="shared" ref="H55" si="11">SUM(G55:G58)</f>
        <v>0.24719907407407171</v>
      </c>
      <c r="I55" s="146" t="str">
        <f t="shared" ref="I55" si="12">INDEX($O$3:$O$34,MATCH($H$3:$H$82,$N$3:$N$34,0))</f>
        <v>III</v>
      </c>
      <c r="J55" s="149">
        <f t="shared" ref="J55" si="13">INDEX($P$3:$P$34,MATCH($H$3:$H$171,$N$3:$N$34,0))</f>
        <v>26</v>
      </c>
      <c r="K55" s="10"/>
      <c r="L55" s="11"/>
      <c r="M55" s="124"/>
      <c r="N55" s="11"/>
      <c r="P55" s="139"/>
    </row>
    <row r="56" spans="1:16" s="20" customFormat="1" ht="20.100000000000001" customHeight="1" x14ac:dyDescent="0.3">
      <c r="A56" s="104"/>
      <c r="B56" s="135" t="s">
        <v>274</v>
      </c>
      <c r="C56" s="14" t="s">
        <v>278</v>
      </c>
      <c r="D56" s="110" t="s">
        <v>202</v>
      </c>
      <c r="E56" s="15">
        <v>54</v>
      </c>
      <c r="F56" s="98"/>
      <c r="G56" s="101">
        <f>IF(D56="М",IFERROR(INDEX('Старт М'!$I$3:$I$101,MATCH('Ориентирование-сводная'!C56,'Старт М'!$C$3:$C$101,0)),""),IFERROR(INDEX('Старт Ж'!$I$3:$I$101,MATCH('Ориентирование-сводная'!C56,'Старт Ж'!$C$3:$C$101,0)),""))</f>
        <v>6.1932870370369611E-2</v>
      </c>
      <c r="H56" s="144"/>
      <c r="I56" s="147"/>
      <c r="J56" s="150"/>
      <c r="K56" s="10"/>
      <c r="L56" s="11"/>
      <c r="M56" s="124"/>
      <c r="N56" s="11"/>
      <c r="P56" s="139"/>
    </row>
    <row r="57" spans="1:16" s="20" customFormat="1" ht="20.100000000000001" customHeight="1" x14ac:dyDescent="0.3">
      <c r="A57" s="104"/>
      <c r="B57" s="135" t="s">
        <v>274</v>
      </c>
      <c r="C57" s="14" t="s">
        <v>279</v>
      </c>
      <c r="D57" s="110" t="s">
        <v>202</v>
      </c>
      <c r="E57" s="15">
        <v>55</v>
      </c>
      <c r="F57" s="98"/>
      <c r="G57" s="101">
        <f>IF(D57="М",IFERROR(INDEX('Старт М'!$I$3:$I$101,MATCH('Ориентирование-сводная'!C57,'Старт М'!$C$3:$C$101,0)),""),IFERROR(INDEX('Старт Ж'!$I$3:$I$101,MATCH('Ориентирование-сводная'!C57,'Старт Ж'!$C$3:$C$101,0)),""))</f>
        <v>0.12459490740740659</v>
      </c>
      <c r="H57" s="144"/>
      <c r="I57" s="147"/>
      <c r="J57" s="150"/>
      <c r="K57" s="10"/>
      <c r="L57" s="11"/>
      <c r="M57" s="124"/>
      <c r="N57" s="11"/>
      <c r="P57" s="139"/>
    </row>
    <row r="58" spans="1:16" s="20" customFormat="1" ht="20.100000000000001" customHeight="1" thickBot="1" x14ac:dyDescent="0.35">
      <c r="A58" s="105"/>
      <c r="B58" s="136"/>
      <c r="C58" s="123"/>
      <c r="D58" s="111"/>
      <c r="E58" s="108">
        <v>56</v>
      </c>
      <c r="F58" s="99"/>
      <c r="G58" s="102" t="str">
        <f>IF(D58="М",IFERROR(INDEX('Старт М'!$I$3:$I$101,MATCH('Ориентирование-сводная'!C58,'Старт М'!$C$3:$C$101,0)),""),IFERROR(INDEX('Старт Ж'!$I$3:$I$101,MATCH('Ориентирование-сводная'!C58,'Старт Ж'!$C$3:$C$101,0)),""))</f>
        <v/>
      </c>
      <c r="H58" s="145"/>
      <c r="I58" s="148"/>
      <c r="J58" s="151"/>
      <c r="K58" s="10"/>
      <c r="L58" s="11"/>
      <c r="M58" s="124"/>
      <c r="N58" s="11"/>
      <c r="P58" s="139"/>
    </row>
    <row r="59" spans="1:16" s="20" customFormat="1" ht="20.100000000000001" customHeight="1" x14ac:dyDescent="0.3">
      <c r="A59" s="16"/>
      <c r="B59" s="17"/>
      <c r="C59" s="10"/>
      <c r="D59" s="11"/>
      <c r="E59" s="11"/>
      <c r="F59" s="11"/>
      <c r="G59" s="96"/>
      <c r="H59" s="18"/>
      <c r="I59" s="11"/>
      <c r="J59" s="11"/>
      <c r="K59" s="10"/>
      <c r="L59" s="11"/>
      <c r="M59" s="124"/>
      <c r="N59" s="11"/>
      <c r="P59" s="139"/>
    </row>
    <row r="60" spans="1:16" s="20" customFormat="1" ht="20.100000000000001" customHeight="1" x14ac:dyDescent="0.3">
      <c r="A60" s="16"/>
      <c r="B60" s="17"/>
      <c r="C60" s="10"/>
      <c r="D60" s="11"/>
      <c r="E60" s="11"/>
      <c r="F60" s="11"/>
      <c r="G60" s="96"/>
      <c r="H60" s="18"/>
      <c r="I60" s="11"/>
      <c r="J60" s="11"/>
      <c r="K60" s="10"/>
      <c r="L60" s="11"/>
      <c r="M60" s="124"/>
      <c r="N60" s="11"/>
      <c r="P60" s="139"/>
    </row>
    <row r="61" spans="1:16" s="20" customFormat="1" ht="20.100000000000001" customHeight="1" x14ac:dyDescent="0.3">
      <c r="A61" s="16"/>
      <c r="B61" s="17"/>
      <c r="C61" s="10"/>
      <c r="D61" s="11"/>
      <c r="E61" s="11"/>
      <c r="F61" s="11"/>
      <c r="G61" s="96"/>
      <c r="H61" s="18"/>
      <c r="I61" s="11"/>
      <c r="J61" s="11"/>
      <c r="K61" s="10"/>
      <c r="L61" s="11"/>
      <c r="M61" s="124"/>
      <c r="N61" s="11"/>
      <c r="P61" s="139"/>
    </row>
    <row r="62" spans="1:16" s="20" customFormat="1" ht="20.100000000000001" customHeight="1" x14ac:dyDescent="0.3">
      <c r="A62" s="16"/>
      <c r="B62" s="17"/>
      <c r="C62" s="10"/>
      <c r="D62" s="11"/>
      <c r="E62" s="11"/>
      <c r="F62" s="11"/>
      <c r="G62" s="96"/>
      <c r="H62" s="18"/>
      <c r="I62" s="11"/>
      <c r="J62" s="11"/>
      <c r="K62" s="10"/>
      <c r="L62" s="11"/>
      <c r="M62" s="124"/>
      <c r="N62" s="11"/>
      <c r="P62" s="139"/>
    </row>
    <row r="63" spans="1:16" s="20" customFormat="1" ht="20.100000000000001" customHeight="1" x14ac:dyDescent="0.3">
      <c r="A63" s="16"/>
      <c r="B63" s="17"/>
      <c r="C63" s="10"/>
      <c r="D63" s="11"/>
      <c r="E63" s="11"/>
      <c r="F63" s="11"/>
      <c r="G63" s="96"/>
      <c r="H63" s="18"/>
      <c r="I63" s="11"/>
      <c r="J63" s="11"/>
      <c r="K63" s="10"/>
      <c r="L63" s="11"/>
      <c r="M63" s="124"/>
      <c r="N63" s="11"/>
      <c r="P63" s="139"/>
    </row>
    <row r="64" spans="1:16" s="20" customFormat="1" ht="20.100000000000001" customHeight="1" x14ac:dyDescent="0.3">
      <c r="A64" s="16"/>
      <c r="B64" s="17"/>
      <c r="C64" s="10"/>
      <c r="D64" s="11"/>
      <c r="E64" s="11"/>
      <c r="F64" s="11"/>
      <c r="G64" s="96"/>
      <c r="H64" s="18"/>
      <c r="I64" s="11"/>
      <c r="J64" s="11"/>
      <c r="K64" s="10"/>
      <c r="L64" s="11"/>
      <c r="M64" s="124"/>
      <c r="N64" s="11"/>
      <c r="P64" s="139"/>
    </row>
    <row r="65" spans="1:16" s="20" customFormat="1" ht="20.100000000000001" customHeight="1" x14ac:dyDescent="0.3">
      <c r="A65" s="16"/>
      <c r="B65" s="17"/>
      <c r="C65" s="10"/>
      <c r="D65" s="11"/>
      <c r="E65" s="11"/>
      <c r="F65" s="11"/>
      <c r="G65" s="96"/>
      <c r="H65" s="18"/>
      <c r="I65" s="11"/>
      <c r="J65" s="11"/>
      <c r="K65" s="10"/>
      <c r="L65" s="11"/>
      <c r="M65" s="124"/>
      <c r="N65" s="11"/>
      <c r="P65" s="139"/>
    </row>
    <row r="66" spans="1:16" s="20" customFormat="1" ht="20.100000000000001" customHeight="1" x14ac:dyDescent="0.3">
      <c r="A66" s="16"/>
      <c r="B66" s="17"/>
      <c r="C66" s="10"/>
      <c r="D66" s="11"/>
      <c r="E66" s="11"/>
      <c r="F66" s="11"/>
      <c r="G66" s="96"/>
      <c r="H66" s="18"/>
      <c r="I66" s="11"/>
      <c r="J66" s="11"/>
      <c r="K66" s="10"/>
      <c r="L66" s="11"/>
      <c r="M66" s="124"/>
      <c r="N66" s="11"/>
      <c r="P66" s="139"/>
    </row>
    <row r="67" spans="1:16" s="20" customFormat="1" ht="20.100000000000001" customHeight="1" x14ac:dyDescent="0.3">
      <c r="A67" s="16"/>
      <c r="B67" s="17"/>
      <c r="C67" s="10"/>
      <c r="D67" s="11"/>
      <c r="E67" s="11"/>
      <c r="F67" s="11"/>
      <c r="G67" s="96"/>
      <c r="H67" s="18"/>
      <c r="I67" s="11"/>
      <c r="J67" s="11"/>
      <c r="K67" s="10"/>
      <c r="L67" s="11"/>
      <c r="M67" s="124"/>
      <c r="N67" s="11"/>
      <c r="P67" s="139"/>
    </row>
    <row r="68" spans="1:16" s="20" customFormat="1" ht="20.100000000000001" customHeight="1" x14ac:dyDescent="0.3">
      <c r="A68" s="16"/>
      <c r="B68" s="17"/>
      <c r="C68" s="10"/>
      <c r="D68" s="11"/>
      <c r="E68" s="11"/>
      <c r="F68" s="11"/>
      <c r="G68" s="96"/>
      <c r="H68" s="18"/>
      <c r="I68" s="11"/>
      <c r="J68" s="11"/>
      <c r="K68" s="10"/>
      <c r="L68" s="11"/>
      <c r="M68" s="124"/>
      <c r="N68" s="11"/>
      <c r="P68" s="139"/>
    </row>
    <row r="69" spans="1:16" s="20" customFormat="1" ht="20.100000000000001" customHeight="1" x14ac:dyDescent="0.3">
      <c r="A69" s="16"/>
      <c r="B69" s="17"/>
      <c r="C69" s="10"/>
      <c r="D69" s="11"/>
      <c r="E69" s="11"/>
      <c r="F69" s="11"/>
      <c r="G69" s="96"/>
      <c r="H69" s="18"/>
      <c r="I69" s="11"/>
      <c r="J69" s="11"/>
      <c r="K69" s="10"/>
      <c r="L69" s="11"/>
      <c r="M69" s="124"/>
      <c r="N69" s="11"/>
      <c r="P69" s="139"/>
    </row>
    <row r="70" spans="1:16" s="20" customFormat="1" ht="20.100000000000001" customHeight="1" x14ac:dyDescent="0.3">
      <c r="A70" s="16"/>
      <c r="B70" s="17"/>
      <c r="C70" s="10"/>
      <c r="D70" s="11"/>
      <c r="E70" s="11"/>
      <c r="F70" s="11"/>
      <c r="G70" s="96"/>
      <c r="H70" s="18"/>
      <c r="I70" s="11"/>
      <c r="J70" s="11"/>
      <c r="K70" s="10"/>
      <c r="L70" s="11"/>
      <c r="M70" s="124"/>
      <c r="N70" s="11"/>
      <c r="P70" s="139"/>
    </row>
    <row r="71" spans="1:16" s="20" customFormat="1" ht="20.100000000000001" customHeight="1" x14ac:dyDescent="0.3">
      <c r="A71" s="16"/>
      <c r="B71" s="17"/>
      <c r="C71" s="10"/>
      <c r="D71" s="11"/>
      <c r="E71" s="11"/>
      <c r="F71" s="11"/>
      <c r="G71" s="96"/>
      <c r="H71" s="18"/>
      <c r="I71" s="11"/>
      <c r="J71" s="11"/>
      <c r="K71" s="10"/>
      <c r="L71" s="11"/>
      <c r="M71" s="124"/>
      <c r="N71" s="11"/>
      <c r="P71" s="139"/>
    </row>
    <row r="72" spans="1:16" s="20" customFormat="1" ht="20.100000000000001" customHeight="1" x14ac:dyDescent="0.3">
      <c r="A72" s="16"/>
      <c r="B72" s="17"/>
      <c r="C72" s="10"/>
      <c r="D72" s="11"/>
      <c r="E72" s="11"/>
      <c r="F72" s="11"/>
      <c r="G72" s="96"/>
      <c r="H72" s="18"/>
      <c r="I72" s="11"/>
      <c r="J72" s="11"/>
      <c r="K72" s="10"/>
      <c r="L72" s="11"/>
      <c r="M72" s="124"/>
      <c r="N72" s="11"/>
      <c r="P72" s="139"/>
    </row>
    <row r="73" spans="1:16" s="20" customFormat="1" ht="20.100000000000001" customHeight="1" x14ac:dyDescent="0.3">
      <c r="A73" s="16"/>
      <c r="B73" s="17"/>
      <c r="C73" s="10"/>
      <c r="D73" s="11"/>
      <c r="E73" s="11"/>
      <c r="F73" s="11"/>
      <c r="G73" s="96"/>
      <c r="H73" s="18"/>
      <c r="I73" s="11"/>
      <c r="J73" s="11"/>
      <c r="K73" s="10"/>
      <c r="L73" s="11"/>
      <c r="M73" s="124"/>
      <c r="N73" s="11"/>
      <c r="P73" s="139"/>
    </row>
    <row r="74" spans="1:16" s="20" customFormat="1" ht="20.100000000000001" customHeight="1" x14ac:dyDescent="0.3">
      <c r="A74" s="16"/>
      <c r="B74" s="17"/>
      <c r="C74" s="10"/>
      <c r="D74" s="11"/>
      <c r="E74" s="11"/>
      <c r="F74" s="11"/>
      <c r="G74" s="96"/>
      <c r="H74" s="18"/>
      <c r="I74" s="11"/>
      <c r="J74" s="11"/>
      <c r="K74" s="10"/>
      <c r="L74" s="11"/>
      <c r="M74" s="124"/>
      <c r="N74" s="11"/>
      <c r="P74" s="139"/>
    </row>
    <row r="75" spans="1:16" s="20" customFormat="1" ht="20.100000000000001" customHeight="1" x14ac:dyDescent="0.3">
      <c r="A75" s="16"/>
      <c r="B75" s="17"/>
      <c r="C75" s="10"/>
      <c r="D75" s="11"/>
      <c r="E75" s="11"/>
      <c r="F75" s="11"/>
      <c r="G75" s="96"/>
      <c r="H75" s="18"/>
      <c r="I75" s="11"/>
      <c r="J75" s="11"/>
      <c r="K75" s="10"/>
      <c r="L75" s="11"/>
      <c r="M75" s="124"/>
      <c r="N75" s="11"/>
      <c r="P75" s="139"/>
    </row>
    <row r="76" spans="1:16" s="20" customFormat="1" ht="20.100000000000001" customHeight="1" x14ac:dyDescent="0.3">
      <c r="A76" s="16"/>
      <c r="B76" s="17"/>
      <c r="C76" s="10"/>
      <c r="D76" s="11"/>
      <c r="E76" s="11"/>
      <c r="F76" s="11"/>
      <c r="G76" s="96"/>
      <c r="H76" s="18"/>
      <c r="I76" s="11"/>
      <c r="J76" s="11"/>
      <c r="K76" s="10"/>
      <c r="L76" s="11"/>
      <c r="M76" s="124"/>
      <c r="N76" s="11"/>
      <c r="P76" s="139"/>
    </row>
    <row r="77" spans="1:16" s="20" customFormat="1" ht="20.100000000000001" customHeight="1" x14ac:dyDescent="0.3">
      <c r="A77" s="16"/>
      <c r="B77" s="17"/>
      <c r="C77" s="10"/>
      <c r="D77" s="11"/>
      <c r="E77" s="11"/>
      <c r="F77" s="11"/>
      <c r="G77" s="96"/>
      <c r="H77" s="18"/>
      <c r="I77" s="11"/>
      <c r="J77" s="11"/>
      <c r="K77" s="10"/>
      <c r="L77" s="11"/>
      <c r="M77" s="124"/>
      <c r="N77" s="11"/>
      <c r="P77" s="139"/>
    </row>
    <row r="78" spans="1:16" s="20" customFormat="1" ht="20.100000000000001" customHeight="1" x14ac:dyDescent="0.3">
      <c r="A78" s="16"/>
      <c r="B78" s="17"/>
      <c r="C78" s="10"/>
      <c r="D78" s="11"/>
      <c r="E78" s="11"/>
      <c r="F78" s="11"/>
      <c r="G78" s="96"/>
      <c r="H78" s="18"/>
      <c r="I78" s="11"/>
      <c r="J78" s="11"/>
      <c r="K78" s="10"/>
      <c r="L78" s="11"/>
      <c r="M78" s="124"/>
      <c r="N78" s="11"/>
      <c r="P78" s="139"/>
    </row>
    <row r="79" spans="1:16" s="20" customFormat="1" ht="20.100000000000001" customHeight="1" x14ac:dyDescent="0.3">
      <c r="A79" s="16"/>
      <c r="B79" s="17"/>
      <c r="C79" s="10"/>
      <c r="D79" s="11"/>
      <c r="E79" s="11"/>
      <c r="F79" s="11"/>
      <c r="G79" s="96"/>
      <c r="H79" s="18"/>
      <c r="I79" s="11"/>
      <c r="J79" s="11"/>
      <c r="K79" s="10"/>
      <c r="L79" s="11"/>
      <c r="M79" s="124"/>
      <c r="N79" s="11"/>
      <c r="P79" s="139"/>
    </row>
    <row r="80" spans="1:16" s="20" customFormat="1" ht="20.100000000000001" customHeight="1" x14ac:dyDescent="0.3">
      <c r="A80" s="16"/>
      <c r="B80" s="17"/>
      <c r="C80" s="10"/>
      <c r="D80" s="11"/>
      <c r="E80" s="11"/>
      <c r="F80" s="11"/>
      <c r="G80" s="96"/>
      <c r="H80" s="18"/>
      <c r="I80" s="11"/>
      <c r="J80" s="11"/>
      <c r="K80" s="10"/>
      <c r="L80" s="11"/>
      <c r="M80" s="124"/>
      <c r="N80" s="11"/>
      <c r="P80" s="139"/>
    </row>
    <row r="81" spans="1:16" s="20" customFormat="1" ht="20.100000000000001" customHeight="1" x14ac:dyDescent="0.3">
      <c r="A81" s="16"/>
      <c r="B81" s="17"/>
      <c r="C81" s="10"/>
      <c r="D81" s="11"/>
      <c r="E81" s="11"/>
      <c r="F81" s="11"/>
      <c r="G81" s="96"/>
      <c r="H81" s="18"/>
      <c r="I81" s="11"/>
      <c r="J81" s="11"/>
      <c r="K81" s="10"/>
      <c r="L81" s="11"/>
      <c r="M81" s="124"/>
      <c r="N81" s="11"/>
      <c r="P81" s="139"/>
    </row>
    <row r="82" spans="1:16" s="20" customFormat="1" ht="20.100000000000001" customHeight="1" x14ac:dyDescent="0.3">
      <c r="A82" s="16"/>
      <c r="B82" s="17"/>
      <c r="C82" s="10"/>
      <c r="D82" s="11"/>
      <c r="E82" s="11"/>
      <c r="F82" s="11"/>
      <c r="G82" s="96"/>
      <c r="H82" s="18"/>
      <c r="I82" s="11"/>
      <c r="J82" s="11"/>
      <c r="K82" s="10"/>
      <c r="L82" s="11"/>
      <c r="M82" s="124"/>
      <c r="N82" s="11"/>
      <c r="P82" s="139"/>
    </row>
    <row r="83" spans="1:16" s="20" customFormat="1" ht="20.100000000000001" customHeight="1" x14ac:dyDescent="0.3">
      <c r="A83" s="16"/>
      <c r="B83" s="17"/>
      <c r="C83" s="10"/>
      <c r="D83" s="11"/>
      <c r="E83" s="11"/>
      <c r="F83" s="11"/>
      <c r="G83" s="96"/>
      <c r="H83" s="18"/>
      <c r="I83" s="11"/>
      <c r="J83" s="11"/>
      <c r="K83" s="10"/>
      <c r="L83" s="11"/>
      <c r="M83" s="124"/>
      <c r="N83" s="11"/>
      <c r="P83" s="139"/>
    </row>
    <row r="84" spans="1:16" s="20" customFormat="1" ht="20.100000000000001" customHeight="1" x14ac:dyDescent="0.3">
      <c r="A84" s="16"/>
      <c r="B84" s="17"/>
      <c r="C84" s="10"/>
      <c r="D84" s="11"/>
      <c r="E84" s="11"/>
      <c r="F84" s="11"/>
      <c r="G84" s="96"/>
      <c r="H84" s="18"/>
      <c r="I84" s="11"/>
      <c r="J84" s="11"/>
      <c r="K84" s="10"/>
      <c r="L84" s="11"/>
      <c r="M84" s="124"/>
      <c r="N84" s="11"/>
      <c r="P84" s="139"/>
    </row>
    <row r="85" spans="1:16" s="20" customFormat="1" ht="20.100000000000001" customHeight="1" x14ac:dyDescent="0.3">
      <c r="A85" s="16"/>
      <c r="B85" s="17"/>
      <c r="C85" s="10"/>
      <c r="D85" s="11"/>
      <c r="E85" s="11"/>
      <c r="F85" s="11"/>
      <c r="G85" s="96"/>
      <c r="H85" s="18"/>
      <c r="I85" s="11"/>
      <c r="J85" s="11"/>
      <c r="K85" s="10"/>
      <c r="L85" s="11"/>
      <c r="M85" s="124"/>
      <c r="N85" s="11"/>
      <c r="P85" s="139"/>
    </row>
    <row r="86" spans="1:16" s="20" customFormat="1" ht="20.100000000000001" customHeight="1" x14ac:dyDescent="0.3">
      <c r="A86" s="16"/>
      <c r="B86" s="17"/>
      <c r="C86" s="10"/>
      <c r="D86" s="11"/>
      <c r="E86" s="11"/>
      <c r="F86" s="11"/>
      <c r="G86" s="96"/>
      <c r="H86" s="18"/>
      <c r="I86" s="11"/>
      <c r="J86" s="11"/>
      <c r="K86" s="10"/>
      <c r="L86" s="11"/>
      <c r="M86" s="124"/>
      <c r="N86" s="11"/>
      <c r="P86" s="139"/>
    </row>
    <row r="87" spans="1:16" s="20" customFormat="1" ht="20.100000000000001" customHeight="1" x14ac:dyDescent="0.3">
      <c r="A87" s="16"/>
      <c r="B87" s="17"/>
      <c r="C87" s="10"/>
      <c r="D87" s="11"/>
      <c r="E87" s="11"/>
      <c r="F87" s="11"/>
      <c r="G87" s="96"/>
      <c r="H87" s="18"/>
      <c r="I87" s="11"/>
      <c r="J87" s="11"/>
      <c r="K87" s="10"/>
      <c r="L87" s="11"/>
      <c r="M87" s="124"/>
      <c r="N87" s="11"/>
      <c r="P87" s="139"/>
    </row>
    <row r="88" spans="1:16" s="20" customFormat="1" ht="20.100000000000001" customHeight="1" x14ac:dyDescent="0.3">
      <c r="A88" s="16"/>
      <c r="B88" s="17"/>
      <c r="C88" s="10"/>
      <c r="D88" s="11"/>
      <c r="E88" s="11"/>
      <c r="F88" s="11"/>
      <c r="G88" s="96"/>
      <c r="H88" s="18"/>
      <c r="I88" s="11"/>
      <c r="J88" s="11"/>
      <c r="K88" s="10"/>
      <c r="L88" s="11"/>
      <c r="M88" s="124"/>
      <c r="N88" s="11"/>
      <c r="P88" s="139"/>
    </row>
    <row r="89" spans="1:16" s="20" customFormat="1" ht="20.100000000000001" customHeight="1" x14ac:dyDescent="0.3">
      <c r="A89" s="16"/>
      <c r="B89" s="17"/>
      <c r="C89" s="10"/>
      <c r="D89" s="11"/>
      <c r="E89" s="11"/>
      <c r="F89" s="11"/>
      <c r="G89" s="96"/>
      <c r="H89" s="18"/>
      <c r="I89" s="11"/>
      <c r="J89" s="11"/>
      <c r="K89" s="10"/>
      <c r="L89" s="11"/>
      <c r="M89" s="124"/>
      <c r="N89" s="11"/>
      <c r="P89" s="139"/>
    </row>
    <row r="90" spans="1:16" s="20" customFormat="1" ht="20.100000000000001" customHeight="1" x14ac:dyDescent="0.3">
      <c r="A90" s="16"/>
      <c r="B90" s="17"/>
      <c r="C90" s="10"/>
      <c r="D90" s="11"/>
      <c r="E90" s="11"/>
      <c r="F90" s="11"/>
      <c r="G90" s="96"/>
      <c r="H90" s="18"/>
      <c r="I90" s="11"/>
      <c r="J90" s="11"/>
      <c r="K90" s="10"/>
      <c r="L90" s="11"/>
      <c r="M90" s="124"/>
      <c r="N90" s="11"/>
      <c r="P90" s="139"/>
    </row>
    <row r="91" spans="1:16" s="20" customFormat="1" ht="20.100000000000001" customHeight="1" x14ac:dyDescent="0.3">
      <c r="A91" s="16"/>
      <c r="B91" s="17"/>
      <c r="C91" s="10"/>
      <c r="D91" s="11"/>
      <c r="E91" s="11"/>
      <c r="F91" s="11"/>
      <c r="G91" s="96"/>
      <c r="H91" s="18"/>
      <c r="I91" s="11"/>
      <c r="J91" s="11"/>
      <c r="K91" s="10"/>
      <c r="L91" s="11"/>
      <c r="M91" s="124"/>
      <c r="N91" s="11"/>
      <c r="P91" s="139"/>
    </row>
    <row r="92" spans="1:16" s="20" customFormat="1" ht="20.100000000000001" customHeight="1" x14ac:dyDescent="0.3">
      <c r="A92" s="16"/>
      <c r="B92" s="17"/>
      <c r="C92" s="10"/>
      <c r="D92" s="11"/>
      <c r="E92" s="11"/>
      <c r="F92" s="11"/>
      <c r="G92" s="96"/>
      <c r="H92" s="18"/>
      <c r="I92" s="11"/>
      <c r="J92" s="11"/>
      <c r="K92" s="10"/>
      <c r="L92" s="11"/>
      <c r="M92" s="124"/>
      <c r="N92" s="11"/>
      <c r="P92" s="139"/>
    </row>
    <row r="93" spans="1:16" s="20" customFormat="1" ht="20.100000000000001" customHeight="1" x14ac:dyDescent="0.3">
      <c r="A93" s="16"/>
      <c r="B93" s="17"/>
      <c r="C93" s="10"/>
      <c r="D93" s="11"/>
      <c r="E93" s="11"/>
      <c r="F93" s="11"/>
      <c r="G93" s="96"/>
      <c r="H93" s="18"/>
      <c r="I93" s="11"/>
      <c r="J93" s="11"/>
      <c r="K93" s="10"/>
      <c r="L93" s="11"/>
      <c r="M93" s="124"/>
      <c r="N93" s="11"/>
      <c r="P93" s="139"/>
    </row>
    <row r="94" spans="1:16" s="20" customFormat="1" ht="20.100000000000001" customHeight="1" x14ac:dyDescent="0.3">
      <c r="A94" s="16"/>
      <c r="B94" s="17"/>
      <c r="C94" s="10"/>
      <c r="D94" s="11"/>
      <c r="E94" s="11"/>
      <c r="F94" s="11"/>
      <c r="G94" s="96"/>
      <c r="H94" s="18"/>
      <c r="I94" s="11"/>
      <c r="J94" s="11"/>
      <c r="K94" s="10"/>
      <c r="L94" s="11"/>
      <c r="M94" s="124"/>
      <c r="N94" s="11"/>
      <c r="P94" s="139"/>
    </row>
    <row r="95" spans="1:16" s="20" customFormat="1" ht="20.100000000000001" customHeight="1" x14ac:dyDescent="0.3">
      <c r="A95" s="16"/>
      <c r="B95" s="17"/>
      <c r="C95" s="10"/>
      <c r="D95" s="11"/>
      <c r="E95" s="11"/>
      <c r="F95" s="11"/>
      <c r="G95" s="96"/>
      <c r="H95" s="18"/>
      <c r="I95" s="11"/>
      <c r="J95" s="11"/>
      <c r="K95" s="10"/>
      <c r="L95" s="11"/>
      <c r="M95" s="124"/>
      <c r="N95" s="11"/>
      <c r="P95" s="139"/>
    </row>
    <row r="96" spans="1:16" s="20" customFormat="1" ht="20.100000000000001" customHeight="1" x14ac:dyDescent="0.3">
      <c r="A96" s="16"/>
      <c r="B96" s="17"/>
      <c r="C96" s="10"/>
      <c r="D96" s="11"/>
      <c r="E96" s="11"/>
      <c r="F96" s="11"/>
      <c r="G96" s="96"/>
      <c r="H96" s="18"/>
      <c r="I96" s="11"/>
      <c r="J96" s="11"/>
      <c r="K96" s="10"/>
      <c r="L96" s="11"/>
      <c r="M96" s="124"/>
      <c r="N96" s="11"/>
      <c r="P96" s="139"/>
    </row>
    <row r="97" spans="1:16" s="20" customFormat="1" ht="20.100000000000001" customHeight="1" x14ac:dyDescent="0.3">
      <c r="A97" s="16"/>
      <c r="B97" s="17"/>
      <c r="C97" s="10"/>
      <c r="D97" s="11"/>
      <c r="E97" s="11"/>
      <c r="F97" s="11"/>
      <c r="G97" s="96"/>
      <c r="H97" s="18"/>
      <c r="I97" s="11"/>
      <c r="J97" s="11"/>
      <c r="K97" s="10"/>
      <c r="L97" s="11"/>
      <c r="M97" s="124"/>
      <c r="N97" s="11"/>
      <c r="P97" s="139"/>
    </row>
    <row r="98" spans="1:16" s="20" customFormat="1" ht="20.100000000000001" customHeight="1" x14ac:dyDescent="0.3">
      <c r="A98" s="16"/>
      <c r="B98" s="17"/>
      <c r="C98" s="10"/>
      <c r="D98" s="11"/>
      <c r="E98" s="11"/>
      <c r="F98" s="11"/>
      <c r="G98" s="96"/>
      <c r="H98" s="18"/>
      <c r="I98" s="11"/>
      <c r="J98" s="11"/>
      <c r="K98" s="10"/>
      <c r="L98" s="11"/>
      <c r="M98" s="124"/>
      <c r="N98" s="11"/>
      <c r="P98" s="139"/>
    </row>
    <row r="99" spans="1:16" s="20" customFormat="1" ht="20.100000000000001" customHeight="1" x14ac:dyDescent="0.3">
      <c r="A99" s="16"/>
      <c r="B99" s="17"/>
      <c r="C99" s="10"/>
      <c r="D99" s="11"/>
      <c r="E99" s="11"/>
      <c r="F99" s="11"/>
      <c r="G99" s="96"/>
      <c r="H99" s="18"/>
      <c r="I99" s="11"/>
      <c r="J99" s="11"/>
      <c r="K99" s="10"/>
      <c r="L99" s="11"/>
      <c r="M99" s="124"/>
      <c r="N99" s="11"/>
      <c r="P99" s="139"/>
    </row>
    <row r="100" spans="1:16" s="20" customFormat="1" ht="20.100000000000001" customHeight="1" x14ac:dyDescent="0.3">
      <c r="A100" s="16"/>
      <c r="B100" s="17"/>
      <c r="C100" s="10"/>
      <c r="D100" s="11"/>
      <c r="E100" s="11"/>
      <c r="F100" s="11"/>
      <c r="G100" s="96"/>
      <c r="H100" s="18"/>
      <c r="I100" s="11"/>
      <c r="J100" s="11"/>
      <c r="K100" s="10"/>
      <c r="L100" s="11"/>
      <c r="M100" s="124"/>
      <c r="N100" s="11"/>
      <c r="P100" s="139"/>
    </row>
    <row r="101" spans="1:16" s="20" customFormat="1" ht="20.100000000000001" customHeight="1" x14ac:dyDescent="0.3">
      <c r="A101" s="16"/>
      <c r="B101" s="17"/>
      <c r="C101" s="10"/>
      <c r="D101" s="11"/>
      <c r="E101" s="11"/>
      <c r="F101" s="11"/>
      <c r="G101" s="96"/>
      <c r="H101" s="18"/>
      <c r="I101" s="11"/>
      <c r="J101" s="11"/>
      <c r="K101" s="10"/>
      <c r="L101" s="11"/>
      <c r="M101" s="124"/>
      <c r="N101" s="11"/>
      <c r="P101" s="139"/>
    </row>
    <row r="102" spans="1:16" s="20" customFormat="1" ht="20.100000000000001" customHeight="1" x14ac:dyDescent="0.3">
      <c r="A102" s="16"/>
      <c r="B102" s="17"/>
      <c r="C102" s="10"/>
      <c r="D102" s="11"/>
      <c r="E102" s="11"/>
      <c r="F102" s="11"/>
      <c r="G102" s="96"/>
      <c r="H102" s="18"/>
      <c r="I102" s="11"/>
      <c r="J102" s="11"/>
      <c r="K102" s="10"/>
      <c r="L102" s="11"/>
      <c r="M102" s="124"/>
      <c r="N102" s="11"/>
      <c r="P102" s="139"/>
    </row>
    <row r="103" spans="1:16" s="20" customFormat="1" ht="20.100000000000001" customHeight="1" x14ac:dyDescent="0.3">
      <c r="A103" s="16"/>
      <c r="B103" s="17"/>
      <c r="C103" s="10"/>
      <c r="D103" s="11"/>
      <c r="E103" s="11"/>
      <c r="F103" s="11"/>
      <c r="G103" s="96"/>
      <c r="H103" s="18"/>
      <c r="I103" s="11"/>
      <c r="J103" s="11"/>
      <c r="K103" s="10"/>
      <c r="L103" s="11"/>
      <c r="M103" s="124"/>
      <c r="N103" s="11"/>
      <c r="P103" s="139"/>
    </row>
    <row r="104" spans="1:16" s="20" customFormat="1" ht="20.100000000000001" customHeight="1" x14ac:dyDescent="0.3">
      <c r="A104" s="16"/>
      <c r="B104" s="17"/>
      <c r="C104" s="10"/>
      <c r="D104" s="11"/>
      <c r="E104" s="11"/>
      <c r="F104" s="11"/>
      <c r="G104" s="96"/>
      <c r="H104" s="18"/>
      <c r="I104" s="11"/>
      <c r="J104" s="11"/>
      <c r="K104" s="10"/>
      <c r="L104" s="11"/>
      <c r="M104" s="124"/>
      <c r="N104" s="11"/>
      <c r="P104" s="139"/>
    </row>
    <row r="105" spans="1:16" s="20" customFormat="1" ht="20.100000000000001" customHeight="1" x14ac:dyDescent="0.3">
      <c r="A105" s="16"/>
      <c r="B105" s="17"/>
      <c r="C105" s="10"/>
      <c r="D105" s="11"/>
      <c r="E105" s="11"/>
      <c r="F105" s="11"/>
      <c r="G105" s="96"/>
      <c r="H105" s="18"/>
      <c r="I105" s="11"/>
      <c r="J105" s="11"/>
      <c r="K105" s="10"/>
      <c r="L105" s="11"/>
      <c r="M105" s="124"/>
      <c r="N105" s="11"/>
      <c r="P105" s="139"/>
    </row>
    <row r="106" spans="1:16" s="20" customFormat="1" ht="20.100000000000001" customHeight="1" x14ac:dyDescent="0.3">
      <c r="A106" s="16"/>
      <c r="B106" s="17"/>
      <c r="C106" s="10"/>
      <c r="D106" s="11"/>
      <c r="E106" s="11"/>
      <c r="F106" s="11"/>
      <c r="G106" s="96"/>
      <c r="H106" s="18"/>
      <c r="I106" s="11"/>
      <c r="J106" s="11"/>
      <c r="K106" s="10"/>
      <c r="L106" s="11"/>
      <c r="M106" s="124"/>
      <c r="N106" s="11"/>
      <c r="P106" s="139"/>
    </row>
    <row r="107" spans="1:16" s="20" customFormat="1" ht="20.100000000000001" customHeight="1" x14ac:dyDescent="0.3">
      <c r="A107" s="16"/>
      <c r="B107" s="17"/>
      <c r="C107" s="10"/>
      <c r="D107" s="11"/>
      <c r="E107" s="11"/>
      <c r="F107" s="11"/>
      <c r="G107" s="96"/>
      <c r="H107" s="18"/>
      <c r="I107" s="11"/>
      <c r="J107" s="11"/>
      <c r="K107" s="10"/>
      <c r="L107" s="11"/>
      <c r="M107" s="124"/>
      <c r="N107" s="11"/>
      <c r="P107" s="139"/>
    </row>
    <row r="108" spans="1:16" s="20" customFormat="1" ht="20.100000000000001" customHeight="1" x14ac:dyDescent="0.3">
      <c r="A108" s="16"/>
      <c r="B108" s="17"/>
      <c r="C108" s="10"/>
      <c r="D108" s="11"/>
      <c r="E108" s="11"/>
      <c r="F108" s="11"/>
      <c r="G108" s="96"/>
      <c r="H108" s="18"/>
      <c r="I108" s="11"/>
      <c r="J108" s="11"/>
      <c r="K108" s="10"/>
      <c r="L108" s="11"/>
      <c r="M108" s="124"/>
      <c r="N108" s="11"/>
      <c r="P108" s="139"/>
    </row>
    <row r="109" spans="1:16" s="20" customFormat="1" ht="20.100000000000001" customHeight="1" x14ac:dyDescent="0.3">
      <c r="A109" s="16"/>
      <c r="B109" s="17"/>
      <c r="C109" s="10"/>
      <c r="D109" s="11"/>
      <c r="E109" s="11"/>
      <c r="F109" s="11"/>
      <c r="G109" s="96"/>
      <c r="H109" s="18"/>
      <c r="I109" s="11"/>
      <c r="J109" s="11"/>
      <c r="K109" s="10"/>
      <c r="L109" s="11"/>
      <c r="M109" s="124"/>
      <c r="N109" s="11"/>
      <c r="P109" s="139"/>
    </row>
    <row r="110" spans="1:16" s="20" customFormat="1" ht="20.100000000000001" customHeight="1" x14ac:dyDescent="0.3">
      <c r="A110" s="16"/>
      <c r="B110" s="17"/>
      <c r="C110" s="10"/>
      <c r="D110" s="11"/>
      <c r="E110" s="11"/>
      <c r="F110" s="11"/>
      <c r="G110" s="96"/>
      <c r="H110" s="18"/>
      <c r="I110" s="11"/>
      <c r="J110" s="11"/>
      <c r="K110" s="10"/>
      <c r="L110" s="11"/>
      <c r="M110" s="124"/>
      <c r="N110" s="11"/>
      <c r="P110" s="139"/>
    </row>
    <row r="111" spans="1:16" s="20" customFormat="1" ht="20.100000000000001" customHeight="1" x14ac:dyDescent="0.3">
      <c r="A111" s="16"/>
      <c r="B111" s="17"/>
      <c r="C111" s="10"/>
      <c r="D111" s="11"/>
      <c r="E111" s="11"/>
      <c r="F111" s="11"/>
      <c r="G111" s="96"/>
      <c r="H111" s="18"/>
      <c r="I111" s="11"/>
      <c r="J111" s="11"/>
      <c r="K111" s="10"/>
      <c r="L111" s="11"/>
      <c r="M111" s="124"/>
      <c r="N111" s="11"/>
      <c r="P111" s="139"/>
    </row>
    <row r="112" spans="1:16" s="20" customFormat="1" ht="20.100000000000001" customHeight="1" x14ac:dyDescent="0.3">
      <c r="A112" s="16"/>
      <c r="B112" s="17"/>
      <c r="C112" s="10"/>
      <c r="D112" s="11"/>
      <c r="E112" s="11"/>
      <c r="F112" s="11"/>
      <c r="G112" s="96"/>
      <c r="H112" s="18"/>
      <c r="I112" s="11"/>
      <c r="J112" s="11"/>
      <c r="K112" s="10"/>
      <c r="L112" s="11"/>
      <c r="M112" s="124"/>
      <c r="N112" s="11"/>
      <c r="P112" s="139"/>
    </row>
    <row r="113" spans="1:16" s="20" customFormat="1" ht="20.100000000000001" customHeight="1" x14ac:dyDescent="0.3">
      <c r="A113" s="16"/>
      <c r="B113" s="17"/>
      <c r="C113" s="10"/>
      <c r="D113" s="11"/>
      <c r="E113" s="11"/>
      <c r="F113" s="11"/>
      <c r="G113" s="96"/>
      <c r="H113" s="18"/>
      <c r="I113" s="11"/>
      <c r="J113" s="11"/>
      <c r="K113" s="10"/>
      <c r="L113" s="11"/>
      <c r="M113" s="124"/>
      <c r="N113" s="11"/>
      <c r="P113" s="139"/>
    </row>
    <row r="114" spans="1:16" s="20" customFormat="1" ht="20.100000000000001" customHeight="1" x14ac:dyDescent="0.3">
      <c r="A114" s="16"/>
      <c r="B114" s="17"/>
      <c r="C114" s="10"/>
      <c r="D114" s="11"/>
      <c r="E114" s="11"/>
      <c r="F114" s="11"/>
      <c r="G114" s="96"/>
      <c r="H114" s="18"/>
      <c r="I114" s="11"/>
      <c r="J114" s="11"/>
      <c r="K114" s="10"/>
      <c r="L114" s="11"/>
      <c r="M114" s="124"/>
      <c r="N114" s="11"/>
      <c r="P114" s="139"/>
    </row>
    <row r="115" spans="1:16" s="20" customFormat="1" ht="20.100000000000001" customHeight="1" x14ac:dyDescent="0.3">
      <c r="A115" s="16"/>
      <c r="B115" s="17"/>
      <c r="C115" s="10"/>
      <c r="D115" s="11"/>
      <c r="E115" s="11"/>
      <c r="F115" s="11"/>
      <c r="G115" s="96"/>
      <c r="H115" s="18"/>
      <c r="I115" s="11"/>
      <c r="J115" s="11"/>
      <c r="K115" s="10"/>
      <c r="L115" s="11"/>
      <c r="M115" s="124"/>
      <c r="N115" s="11"/>
      <c r="P115" s="139"/>
    </row>
    <row r="116" spans="1:16" s="20" customFormat="1" ht="20.100000000000001" customHeight="1" x14ac:dyDescent="0.3">
      <c r="A116" s="16"/>
      <c r="B116" s="17"/>
      <c r="C116" s="10"/>
      <c r="D116" s="11"/>
      <c r="E116" s="11"/>
      <c r="F116" s="11"/>
      <c r="G116" s="96"/>
      <c r="H116" s="18"/>
      <c r="I116" s="11"/>
      <c r="J116" s="11"/>
      <c r="K116" s="10"/>
      <c r="L116" s="11"/>
      <c r="M116" s="124"/>
      <c r="N116" s="11"/>
      <c r="P116" s="139"/>
    </row>
    <row r="117" spans="1:16" s="20" customFormat="1" ht="20.100000000000001" customHeight="1" x14ac:dyDescent="0.3">
      <c r="A117" s="16"/>
      <c r="B117" s="17"/>
      <c r="C117" s="10"/>
      <c r="D117" s="11"/>
      <c r="E117" s="11"/>
      <c r="F117" s="11"/>
      <c r="G117" s="96"/>
      <c r="H117" s="18"/>
      <c r="I117" s="11"/>
      <c r="J117" s="11"/>
      <c r="K117" s="10"/>
      <c r="L117" s="11"/>
      <c r="M117" s="124"/>
      <c r="N117" s="11"/>
      <c r="P117" s="139"/>
    </row>
    <row r="118" spans="1:16" s="20" customFormat="1" ht="20.100000000000001" customHeight="1" x14ac:dyDescent="0.3">
      <c r="A118" s="16"/>
      <c r="B118" s="17"/>
      <c r="C118" s="10"/>
      <c r="D118" s="11"/>
      <c r="E118" s="11"/>
      <c r="F118" s="11"/>
      <c r="G118" s="96"/>
      <c r="H118" s="18"/>
      <c r="I118" s="11"/>
      <c r="J118" s="11"/>
      <c r="K118" s="10"/>
      <c r="L118" s="11"/>
      <c r="M118" s="124"/>
      <c r="N118" s="11"/>
      <c r="P118" s="139"/>
    </row>
    <row r="119" spans="1:16" s="20" customFormat="1" ht="20.100000000000001" customHeight="1" x14ac:dyDescent="0.3">
      <c r="A119" s="16"/>
      <c r="B119" s="17"/>
      <c r="C119" s="10"/>
      <c r="D119" s="11"/>
      <c r="E119" s="11"/>
      <c r="F119" s="11"/>
      <c r="G119" s="96"/>
      <c r="H119" s="18"/>
      <c r="I119" s="11"/>
      <c r="J119" s="11"/>
      <c r="K119" s="10"/>
      <c r="L119" s="11"/>
      <c r="M119" s="124"/>
      <c r="N119" s="11"/>
      <c r="P119" s="139"/>
    </row>
    <row r="120" spans="1:16" s="20" customFormat="1" ht="20.100000000000001" customHeight="1" x14ac:dyDescent="0.3">
      <c r="A120" s="16"/>
      <c r="B120" s="17"/>
      <c r="C120" s="10"/>
      <c r="D120" s="11"/>
      <c r="E120" s="11"/>
      <c r="F120" s="11"/>
      <c r="G120" s="96"/>
      <c r="H120" s="18"/>
      <c r="I120" s="11"/>
      <c r="J120" s="11"/>
      <c r="K120" s="10"/>
      <c r="L120" s="11"/>
      <c r="M120" s="124"/>
      <c r="N120" s="11"/>
      <c r="P120" s="139"/>
    </row>
    <row r="121" spans="1:16" s="20" customFormat="1" ht="20.100000000000001" customHeight="1" x14ac:dyDescent="0.3">
      <c r="A121" s="16"/>
      <c r="B121" s="17"/>
      <c r="C121" s="10"/>
      <c r="D121" s="11"/>
      <c r="E121" s="11"/>
      <c r="F121" s="11"/>
      <c r="G121" s="96"/>
      <c r="H121" s="18"/>
      <c r="I121" s="11"/>
      <c r="J121" s="11"/>
      <c r="K121" s="10"/>
      <c r="L121" s="11"/>
      <c r="M121" s="124"/>
      <c r="N121" s="11"/>
      <c r="P121" s="139"/>
    </row>
    <row r="122" spans="1:16" s="20" customFormat="1" ht="20.100000000000001" customHeight="1" x14ac:dyDescent="0.3">
      <c r="A122" s="16"/>
      <c r="B122" s="17"/>
      <c r="C122" s="10"/>
      <c r="D122" s="11"/>
      <c r="E122" s="11"/>
      <c r="F122" s="11"/>
      <c r="G122" s="96"/>
      <c r="H122" s="18"/>
      <c r="I122" s="11"/>
      <c r="J122" s="11"/>
      <c r="K122" s="10"/>
      <c r="L122" s="11"/>
      <c r="M122" s="124"/>
      <c r="N122" s="11"/>
      <c r="P122" s="139"/>
    </row>
    <row r="123" spans="1:16" s="20" customFormat="1" ht="20.100000000000001" customHeight="1" x14ac:dyDescent="0.3">
      <c r="A123" s="16"/>
      <c r="B123" s="17"/>
      <c r="C123" s="10"/>
      <c r="D123" s="11"/>
      <c r="E123" s="11"/>
      <c r="F123" s="11"/>
      <c r="G123" s="96"/>
      <c r="H123" s="18"/>
      <c r="I123" s="11"/>
      <c r="J123" s="11"/>
      <c r="K123" s="10"/>
      <c r="L123" s="11"/>
      <c r="M123" s="124"/>
      <c r="N123" s="11"/>
      <c r="P123" s="139"/>
    </row>
    <row r="124" spans="1:16" s="20" customFormat="1" ht="20.100000000000001" customHeight="1" x14ac:dyDescent="0.3">
      <c r="A124" s="16"/>
      <c r="B124" s="17"/>
      <c r="C124" s="10"/>
      <c r="D124" s="11"/>
      <c r="E124" s="11"/>
      <c r="F124" s="11"/>
      <c r="G124" s="96"/>
      <c r="H124" s="18"/>
      <c r="I124" s="11"/>
      <c r="J124" s="11"/>
      <c r="K124" s="10"/>
      <c r="L124" s="11"/>
      <c r="M124" s="124"/>
      <c r="N124" s="11"/>
      <c r="P124" s="139"/>
    </row>
    <row r="125" spans="1:16" s="20" customFormat="1" ht="20.100000000000001" customHeight="1" x14ac:dyDescent="0.3">
      <c r="A125" s="16"/>
      <c r="B125" s="17"/>
      <c r="C125" s="10"/>
      <c r="D125" s="11"/>
      <c r="E125" s="11"/>
      <c r="F125" s="11"/>
      <c r="G125" s="96"/>
      <c r="H125" s="18"/>
      <c r="I125" s="11"/>
      <c r="J125" s="11"/>
      <c r="K125" s="10"/>
      <c r="L125" s="11"/>
      <c r="M125" s="124"/>
      <c r="N125" s="11"/>
      <c r="P125" s="139"/>
    </row>
    <row r="126" spans="1:16" s="20" customFormat="1" ht="20.100000000000001" customHeight="1" x14ac:dyDescent="0.3">
      <c r="A126" s="16"/>
      <c r="B126" s="17"/>
      <c r="C126" s="10"/>
      <c r="D126" s="11"/>
      <c r="E126" s="11"/>
      <c r="F126" s="11"/>
      <c r="G126" s="96"/>
      <c r="H126" s="18"/>
      <c r="I126" s="11"/>
      <c r="J126" s="11"/>
      <c r="K126" s="10"/>
      <c r="L126" s="11"/>
      <c r="M126" s="124"/>
      <c r="N126" s="11"/>
      <c r="P126" s="139"/>
    </row>
    <row r="127" spans="1:16" s="20" customFormat="1" ht="20.100000000000001" customHeight="1" x14ac:dyDescent="0.3">
      <c r="A127" s="16"/>
      <c r="B127" s="17"/>
      <c r="C127" s="10"/>
      <c r="D127" s="11"/>
      <c r="E127" s="11"/>
      <c r="F127" s="11"/>
      <c r="G127" s="96"/>
      <c r="H127" s="18"/>
      <c r="I127" s="11"/>
      <c r="J127" s="11"/>
      <c r="K127" s="10"/>
      <c r="L127" s="11"/>
      <c r="M127" s="124"/>
      <c r="N127" s="11"/>
      <c r="P127" s="139"/>
    </row>
    <row r="128" spans="1:16" s="20" customFormat="1" ht="20.100000000000001" customHeight="1" x14ac:dyDescent="0.3">
      <c r="A128" s="16"/>
      <c r="B128" s="17"/>
      <c r="C128" s="10"/>
      <c r="D128" s="11"/>
      <c r="E128" s="11"/>
      <c r="F128" s="11"/>
      <c r="G128" s="96"/>
      <c r="H128" s="18"/>
      <c r="I128" s="11"/>
      <c r="J128" s="11"/>
      <c r="K128" s="10"/>
      <c r="L128" s="11"/>
      <c r="M128" s="124"/>
      <c r="N128" s="11"/>
      <c r="P128" s="139"/>
    </row>
    <row r="129" spans="1:16" s="20" customFormat="1" ht="20.100000000000001" customHeight="1" x14ac:dyDescent="0.3">
      <c r="A129" s="16"/>
      <c r="B129" s="17"/>
      <c r="C129" s="10"/>
      <c r="D129" s="11"/>
      <c r="E129" s="11"/>
      <c r="F129" s="11"/>
      <c r="G129" s="96"/>
      <c r="H129" s="18"/>
      <c r="I129" s="11"/>
      <c r="J129" s="11"/>
      <c r="K129" s="10"/>
      <c r="L129" s="11"/>
      <c r="M129" s="124"/>
      <c r="N129" s="11"/>
      <c r="P129" s="139"/>
    </row>
    <row r="130" spans="1:16" s="20" customFormat="1" ht="20.100000000000001" customHeight="1" x14ac:dyDescent="0.3">
      <c r="A130" s="16"/>
      <c r="B130" s="17"/>
      <c r="C130" s="10"/>
      <c r="D130" s="11"/>
      <c r="E130" s="11"/>
      <c r="F130" s="11"/>
      <c r="G130" s="96"/>
      <c r="H130" s="18"/>
      <c r="I130" s="11"/>
      <c r="J130" s="11"/>
      <c r="K130" s="10"/>
      <c r="L130" s="11"/>
      <c r="M130" s="124"/>
      <c r="N130" s="11"/>
      <c r="P130" s="139"/>
    </row>
    <row r="131" spans="1:16" s="20" customFormat="1" ht="20.100000000000001" customHeight="1" x14ac:dyDescent="0.3">
      <c r="A131" s="16"/>
      <c r="B131" s="17"/>
      <c r="C131" s="10"/>
      <c r="D131" s="11"/>
      <c r="E131" s="11"/>
      <c r="F131" s="11"/>
      <c r="G131" s="96"/>
      <c r="H131" s="18"/>
      <c r="I131" s="11"/>
      <c r="J131" s="11"/>
      <c r="K131" s="10"/>
      <c r="L131" s="11"/>
      <c r="M131" s="124"/>
      <c r="N131" s="11"/>
      <c r="P131" s="139"/>
    </row>
    <row r="132" spans="1:16" s="20" customFormat="1" ht="20.100000000000001" customHeight="1" x14ac:dyDescent="0.3">
      <c r="A132" s="16"/>
      <c r="B132" s="17"/>
      <c r="C132" s="10"/>
      <c r="D132" s="11"/>
      <c r="E132" s="11"/>
      <c r="F132" s="11"/>
      <c r="G132" s="96"/>
      <c r="H132" s="18"/>
      <c r="I132" s="11"/>
      <c r="J132" s="11"/>
      <c r="K132" s="10"/>
      <c r="L132" s="11"/>
      <c r="M132" s="124"/>
      <c r="N132" s="11"/>
      <c r="P132" s="139"/>
    </row>
    <row r="133" spans="1:16" s="20" customFormat="1" ht="20.100000000000001" customHeight="1" x14ac:dyDescent="0.3">
      <c r="A133" s="16"/>
      <c r="B133" s="17"/>
      <c r="C133" s="10"/>
      <c r="D133" s="11"/>
      <c r="E133" s="11"/>
      <c r="F133" s="11"/>
      <c r="G133" s="96"/>
      <c r="H133" s="18"/>
      <c r="I133" s="11"/>
      <c r="J133" s="11"/>
      <c r="K133" s="10"/>
      <c r="L133" s="11"/>
      <c r="M133" s="124"/>
      <c r="N133" s="11"/>
      <c r="P133" s="139"/>
    </row>
    <row r="134" spans="1:16" s="20" customFormat="1" ht="20.100000000000001" customHeight="1" x14ac:dyDescent="0.3">
      <c r="A134" s="16"/>
      <c r="B134" s="17"/>
      <c r="C134" s="10"/>
      <c r="D134" s="11"/>
      <c r="E134" s="11"/>
      <c r="F134" s="11"/>
      <c r="G134" s="96"/>
      <c r="H134" s="18"/>
      <c r="I134" s="11"/>
      <c r="J134" s="11"/>
      <c r="K134" s="10"/>
      <c r="L134" s="11"/>
      <c r="M134" s="124"/>
      <c r="N134" s="11"/>
      <c r="P134" s="139"/>
    </row>
    <row r="135" spans="1:16" s="20" customFormat="1" ht="20.100000000000001" customHeight="1" x14ac:dyDescent="0.3">
      <c r="A135" s="16"/>
      <c r="B135" s="17"/>
      <c r="C135" s="10"/>
      <c r="D135" s="11"/>
      <c r="E135" s="11"/>
      <c r="F135" s="11"/>
      <c r="G135" s="96"/>
      <c r="H135" s="18"/>
      <c r="I135" s="11"/>
      <c r="J135" s="11"/>
      <c r="K135" s="10"/>
      <c r="L135" s="11"/>
      <c r="M135" s="124"/>
      <c r="N135" s="11"/>
      <c r="P135" s="139"/>
    </row>
    <row r="136" spans="1:16" s="20" customFormat="1" ht="20.100000000000001" customHeight="1" x14ac:dyDescent="0.3">
      <c r="A136" s="16"/>
      <c r="B136" s="17"/>
      <c r="C136" s="10"/>
      <c r="D136" s="11"/>
      <c r="E136" s="11"/>
      <c r="F136" s="11"/>
      <c r="G136" s="96"/>
      <c r="H136" s="18"/>
      <c r="I136" s="11"/>
      <c r="J136" s="11"/>
      <c r="K136" s="10"/>
      <c r="L136" s="11"/>
      <c r="M136" s="124"/>
      <c r="N136" s="11"/>
      <c r="P136" s="139"/>
    </row>
    <row r="137" spans="1:16" s="20" customFormat="1" ht="20.100000000000001" customHeight="1" x14ac:dyDescent="0.3">
      <c r="A137" s="16"/>
      <c r="B137" s="17"/>
      <c r="C137" s="10"/>
      <c r="D137" s="11"/>
      <c r="E137" s="11"/>
      <c r="F137" s="11"/>
      <c r="G137" s="96"/>
      <c r="H137" s="18"/>
      <c r="I137" s="11"/>
      <c r="J137" s="11"/>
      <c r="K137" s="10"/>
      <c r="L137" s="11"/>
      <c r="M137" s="124"/>
      <c r="N137" s="11"/>
      <c r="P137" s="139"/>
    </row>
    <row r="138" spans="1:16" s="20" customFormat="1" ht="20.100000000000001" customHeight="1" x14ac:dyDescent="0.3">
      <c r="A138" s="16"/>
      <c r="B138" s="17"/>
      <c r="C138" s="10"/>
      <c r="D138" s="11"/>
      <c r="E138" s="11"/>
      <c r="F138" s="11"/>
      <c r="G138" s="96"/>
      <c r="H138" s="18"/>
      <c r="I138" s="11"/>
      <c r="J138" s="11"/>
      <c r="K138" s="10"/>
      <c r="L138" s="11"/>
      <c r="M138" s="124"/>
      <c r="N138" s="11"/>
      <c r="P138" s="139"/>
    </row>
    <row r="139" spans="1:16" s="20" customFormat="1" ht="20.100000000000001" customHeight="1" x14ac:dyDescent="0.3">
      <c r="A139" s="16"/>
      <c r="B139" s="17"/>
      <c r="C139" s="10"/>
      <c r="D139" s="11"/>
      <c r="E139" s="11"/>
      <c r="F139" s="11"/>
      <c r="G139" s="96"/>
      <c r="H139" s="18"/>
      <c r="I139" s="11"/>
      <c r="J139" s="11"/>
      <c r="K139" s="10"/>
      <c r="L139" s="11"/>
      <c r="M139" s="124"/>
      <c r="N139" s="11"/>
      <c r="P139" s="139"/>
    </row>
    <row r="140" spans="1:16" s="20" customFormat="1" ht="20.100000000000001" customHeight="1" x14ac:dyDescent="0.3">
      <c r="A140" s="16"/>
      <c r="B140" s="17"/>
      <c r="C140" s="10"/>
      <c r="D140" s="11"/>
      <c r="E140" s="11"/>
      <c r="F140" s="11"/>
      <c r="G140" s="96"/>
      <c r="H140" s="18"/>
      <c r="I140" s="11"/>
      <c r="J140" s="11"/>
      <c r="K140" s="10"/>
      <c r="L140" s="11"/>
      <c r="M140" s="124"/>
      <c r="N140" s="11"/>
      <c r="P140" s="139"/>
    </row>
    <row r="141" spans="1:16" s="20" customFormat="1" ht="20.100000000000001" customHeight="1" x14ac:dyDescent="0.3">
      <c r="A141" s="16"/>
      <c r="B141" s="17"/>
      <c r="C141" s="10"/>
      <c r="D141" s="11"/>
      <c r="E141" s="11"/>
      <c r="F141" s="11"/>
      <c r="G141" s="96"/>
      <c r="H141" s="18"/>
      <c r="I141" s="11"/>
      <c r="J141" s="11"/>
      <c r="K141" s="10"/>
      <c r="L141" s="11"/>
      <c r="M141" s="124"/>
      <c r="N141" s="11"/>
      <c r="P141" s="139"/>
    </row>
    <row r="142" spans="1:16" s="20" customFormat="1" ht="20.100000000000001" customHeight="1" x14ac:dyDescent="0.3">
      <c r="A142" s="16"/>
      <c r="B142" s="17"/>
      <c r="C142" s="10"/>
      <c r="D142" s="11"/>
      <c r="E142" s="11"/>
      <c r="F142" s="11"/>
      <c r="G142" s="96"/>
      <c r="H142" s="18"/>
      <c r="I142" s="11"/>
      <c r="J142" s="11"/>
      <c r="K142" s="10"/>
      <c r="L142" s="11"/>
      <c r="M142" s="124"/>
      <c r="N142" s="11"/>
      <c r="P142" s="139"/>
    </row>
    <row r="143" spans="1:16" s="20" customFormat="1" ht="20.100000000000001" customHeight="1" x14ac:dyDescent="0.3">
      <c r="A143" s="16"/>
      <c r="B143" s="17"/>
      <c r="C143" s="10"/>
      <c r="D143" s="11"/>
      <c r="E143" s="11"/>
      <c r="F143" s="11"/>
      <c r="G143" s="96"/>
      <c r="H143" s="18"/>
      <c r="I143" s="11"/>
      <c r="J143" s="11"/>
      <c r="K143" s="10"/>
      <c r="L143" s="11"/>
      <c r="M143" s="124"/>
      <c r="N143" s="11"/>
      <c r="P143" s="139"/>
    </row>
    <row r="144" spans="1:16" s="20" customFormat="1" ht="20.100000000000001" customHeight="1" x14ac:dyDescent="0.3">
      <c r="A144" s="16"/>
      <c r="B144" s="17"/>
      <c r="C144" s="10"/>
      <c r="D144" s="11"/>
      <c r="E144" s="11"/>
      <c r="F144" s="11"/>
      <c r="G144" s="96"/>
      <c r="H144" s="18"/>
      <c r="I144" s="11"/>
      <c r="J144" s="11"/>
      <c r="K144" s="10"/>
      <c r="L144" s="11"/>
      <c r="M144" s="124"/>
      <c r="N144" s="11"/>
      <c r="P144" s="139"/>
    </row>
    <row r="145" spans="1:16" s="20" customFormat="1" ht="20.100000000000001" customHeight="1" x14ac:dyDescent="0.3">
      <c r="A145" s="16"/>
      <c r="B145" s="17"/>
      <c r="C145" s="10"/>
      <c r="D145" s="11"/>
      <c r="E145" s="11"/>
      <c r="F145" s="11"/>
      <c r="G145" s="96"/>
      <c r="H145" s="18"/>
      <c r="I145" s="11"/>
      <c r="J145" s="11"/>
      <c r="K145" s="10"/>
      <c r="L145" s="11"/>
      <c r="M145" s="124"/>
      <c r="N145" s="11"/>
      <c r="P145" s="139"/>
    </row>
    <row r="146" spans="1:16" s="20" customFormat="1" ht="20.100000000000001" customHeight="1" x14ac:dyDescent="0.3">
      <c r="A146" s="16"/>
      <c r="B146" s="17"/>
      <c r="C146" s="10"/>
      <c r="D146" s="11"/>
      <c r="E146" s="11"/>
      <c r="F146" s="11"/>
      <c r="G146" s="96"/>
      <c r="H146" s="18"/>
      <c r="I146" s="11"/>
      <c r="J146" s="11"/>
      <c r="K146" s="10"/>
      <c r="L146" s="11"/>
      <c r="M146" s="124"/>
      <c r="N146" s="11"/>
      <c r="P146" s="139"/>
    </row>
    <row r="147" spans="1:16" s="20" customFormat="1" ht="20.100000000000001" customHeight="1" x14ac:dyDescent="0.3">
      <c r="A147" s="16"/>
      <c r="B147" s="17"/>
      <c r="C147" s="10"/>
      <c r="D147" s="11"/>
      <c r="E147" s="11"/>
      <c r="F147" s="11"/>
      <c r="G147" s="96"/>
      <c r="H147" s="18"/>
      <c r="I147" s="11"/>
      <c r="J147" s="11"/>
      <c r="K147" s="10"/>
      <c r="L147" s="11"/>
      <c r="M147" s="124"/>
      <c r="N147" s="11"/>
      <c r="P147" s="139"/>
    </row>
    <row r="148" spans="1:16" s="20" customFormat="1" ht="20.100000000000001" customHeight="1" x14ac:dyDescent="0.3">
      <c r="A148" s="16"/>
      <c r="B148" s="17"/>
      <c r="C148" s="10"/>
      <c r="D148" s="11"/>
      <c r="E148" s="11"/>
      <c r="F148" s="11"/>
      <c r="G148" s="96"/>
      <c r="H148" s="18"/>
      <c r="I148" s="11"/>
      <c r="J148" s="11"/>
      <c r="K148" s="10"/>
      <c r="L148" s="11"/>
      <c r="M148" s="124"/>
      <c r="N148" s="11"/>
      <c r="P148" s="139"/>
    </row>
    <row r="149" spans="1:16" s="20" customFormat="1" ht="20.100000000000001" customHeight="1" x14ac:dyDescent="0.3">
      <c r="A149" s="16"/>
      <c r="B149" s="17"/>
      <c r="C149" s="10"/>
      <c r="D149" s="11"/>
      <c r="E149" s="11"/>
      <c r="F149" s="11"/>
      <c r="G149" s="96"/>
      <c r="H149" s="18"/>
      <c r="I149" s="11"/>
      <c r="J149" s="11"/>
      <c r="K149" s="10"/>
      <c r="L149" s="11"/>
      <c r="M149" s="124"/>
      <c r="N149" s="11"/>
      <c r="P149" s="139"/>
    </row>
    <row r="150" spans="1:16" s="20" customFormat="1" ht="20.100000000000001" customHeight="1" x14ac:dyDescent="0.3">
      <c r="A150" s="16"/>
      <c r="B150" s="17"/>
      <c r="C150" s="10"/>
      <c r="D150" s="11"/>
      <c r="E150" s="11"/>
      <c r="F150" s="11"/>
      <c r="G150" s="96"/>
      <c r="H150" s="18"/>
      <c r="I150" s="11"/>
      <c r="J150" s="11"/>
      <c r="K150" s="10"/>
      <c r="L150" s="11"/>
      <c r="M150" s="124"/>
      <c r="N150" s="11"/>
      <c r="P150" s="139"/>
    </row>
    <row r="151" spans="1:16" s="20" customFormat="1" ht="20.100000000000001" customHeight="1" x14ac:dyDescent="0.3">
      <c r="A151" s="16"/>
      <c r="B151" s="17"/>
      <c r="C151" s="10"/>
      <c r="D151" s="11"/>
      <c r="E151" s="11"/>
      <c r="F151" s="11"/>
      <c r="G151" s="96"/>
      <c r="H151" s="18"/>
      <c r="I151" s="11"/>
      <c r="J151" s="11"/>
      <c r="K151" s="10"/>
      <c r="L151" s="11"/>
      <c r="M151" s="124"/>
      <c r="N151" s="11"/>
      <c r="P151" s="139"/>
    </row>
    <row r="152" spans="1:16" s="20" customFormat="1" ht="20.100000000000001" customHeight="1" x14ac:dyDescent="0.3">
      <c r="A152" s="16"/>
      <c r="B152" s="17"/>
      <c r="C152" s="10"/>
      <c r="D152" s="11"/>
      <c r="E152" s="11"/>
      <c r="F152" s="11"/>
      <c r="G152" s="96"/>
      <c r="H152" s="18"/>
      <c r="I152" s="11"/>
      <c r="J152" s="11"/>
      <c r="K152" s="10"/>
      <c r="L152" s="11"/>
      <c r="M152" s="124"/>
      <c r="N152" s="11"/>
      <c r="P152" s="139"/>
    </row>
    <row r="153" spans="1:16" s="20" customFormat="1" ht="20.100000000000001" customHeight="1" x14ac:dyDescent="0.3">
      <c r="A153" s="16"/>
      <c r="B153" s="17"/>
      <c r="C153" s="10"/>
      <c r="D153" s="11"/>
      <c r="E153" s="11"/>
      <c r="F153" s="11"/>
      <c r="G153" s="96"/>
      <c r="H153" s="18"/>
      <c r="I153" s="11"/>
      <c r="J153" s="11"/>
      <c r="K153" s="10"/>
      <c r="L153" s="11"/>
      <c r="M153" s="124"/>
      <c r="N153" s="11"/>
      <c r="P153" s="139"/>
    </row>
    <row r="154" spans="1:16" s="20" customFormat="1" ht="20.100000000000001" customHeight="1" x14ac:dyDescent="0.3">
      <c r="A154" s="16"/>
      <c r="B154" s="17"/>
      <c r="C154" s="10"/>
      <c r="D154" s="11"/>
      <c r="E154" s="11"/>
      <c r="F154" s="11"/>
      <c r="G154" s="96"/>
      <c r="H154" s="18"/>
      <c r="I154" s="11"/>
      <c r="J154" s="11"/>
      <c r="K154" s="10"/>
      <c r="L154" s="11"/>
      <c r="M154" s="124"/>
      <c r="N154" s="11"/>
      <c r="P154" s="139"/>
    </row>
    <row r="155" spans="1:16" s="20" customFormat="1" ht="20.100000000000001" customHeight="1" x14ac:dyDescent="0.3">
      <c r="A155" s="16"/>
      <c r="B155" s="17"/>
      <c r="C155" s="10"/>
      <c r="D155" s="11"/>
      <c r="E155" s="11"/>
      <c r="F155" s="11"/>
      <c r="G155" s="96"/>
      <c r="H155" s="18"/>
      <c r="I155" s="11"/>
      <c r="J155" s="11"/>
      <c r="K155" s="10"/>
      <c r="L155" s="11"/>
      <c r="M155" s="124"/>
      <c r="N155" s="11"/>
      <c r="P155" s="139"/>
    </row>
    <row r="156" spans="1:16" s="20" customFormat="1" ht="20.100000000000001" customHeight="1" x14ac:dyDescent="0.3">
      <c r="A156" s="16"/>
      <c r="B156" s="17"/>
      <c r="C156" s="10"/>
      <c r="D156" s="11"/>
      <c r="E156" s="11"/>
      <c r="F156" s="11"/>
      <c r="G156" s="96"/>
      <c r="H156" s="18"/>
      <c r="I156" s="11"/>
      <c r="J156" s="11"/>
      <c r="K156" s="10"/>
      <c r="L156" s="11"/>
      <c r="M156" s="124"/>
      <c r="N156" s="11"/>
      <c r="P156" s="139"/>
    </row>
    <row r="157" spans="1:16" s="20" customFormat="1" ht="20.100000000000001" customHeight="1" x14ac:dyDescent="0.3">
      <c r="A157" s="16"/>
      <c r="B157" s="17"/>
      <c r="C157" s="10"/>
      <c r="D157" s="11"/>
      <c r="E157" s="11"/>
      <c r="F157" s="11"/>
      <c r="G157" s="96"/>
      <c r="H157" s="18"/>
      <c r="I157" s="11"/>
      <c r="J157" s="11"/>
      <c r="K157" s="10"/>
      <c r="L157" s="11"/>
      <c r="M157" s="124"/>
      <c r="N157" s="11"/>
      <c r="P157" s="139"/>
    </row>
    <row r="158" spans="1:16" s="20" customFormat="1" ht="20.100000000000001" customHeight="1" x14ac:dyDescent="0.3">
      <c r="A158" s="16"/>
      <c r="B158" s="17"/>
      <c r="C158" s="10"/>
      <c r="D158" s="11"/>
      <c r="E158" s="11"/>
      <c r="F158" s="11"/>
      <c r="G158" s="96"/>
      <c r="H158" s="18"/>
      <c r="I158" s="11"/>
      <c r="J158" s="11"/>
      <c r="K158" s="10"/>
      <c r="L158" s="11"/>
      <c r="M158" s="124"/>
      <c r="N158" s="11"/>
      <c r="P158" s="139"/>
    </row>
    <row r="159" spans="1:16" s="20" customFormat="1" ht="20.100000000000001" customHeight="1" x14ac:dyDescent="0.3">
      <c r="A159" s="16"/>
      <c r="B159" s="17"/>
      <c r="C159" s="10"/>
      <c r="D159" s="11"/>
      <c r="E159" s="11"/>
      <c r="F159" s="11"/>
      <c r="G159" s="96"/>
      <c r="H159" s="18"/>
      <c r="I159" s="11"/>
      <c r="J159" s="11"/>
      <c r="K159" s="10"/>
      <c r="L159" s="11"/>
      <c r="M159" s="124"/>
      <c r="N159" s="11"/>
      <c r="P159" s="139"/>
    </row>
    <row r="160" spans="1:16" s="20" customFormat="1" ht="20.100000000000001" customHeight="1" x14ac:dyDescent="0.3">
      <c r="A160" s="16"/>
      <c r="B160" s="17"/>
      <c r="C160" s="10"/>
      <c r="D160" s="11"/>
      <c r="E160" s="11"/>
      <c r="F160" s="11"/>
      <c r="G160" s="96"/>
      <c r="H160" s="18"/>
      <c r="I160" s="11"/>
      <c r="J160" s="11"/>
      <c r="K160" s="10"/>
      <c r="L160" s="11"/>
      <c r="M160" s="124"/>
      <c r="N160" s="11"/>
      <c r="P160" s="139"/>
    </row>
    <row r="161" spans="1:16" s="20" customFormat="1" ht="20.100000000000001" customHeight="1" x14ac:dyDescent="0.3">
      <c r="A161" s="16"/>
      <c r="B161" s="17"/>
      <c r="C161" s="10"/>
      <c r="D161" s="11"/>
      <c r="E161" s="11"/>
      <c r="F161" s="11"/>
      <c r="G161" s="96"/>
      <c r="H161" s="18"/>
      <c r="I161" s="11"/>
      <c r="J161" s="11"/>
      <c r="K161" s="10"/>
      <c r="L161" s="11"/>
      <c r="M161" s="124"/>
      <c r="N161" s="11"/>
      <c r="P161" s="139"/>
    </row>
    <row r="162" spans="1:16" s="20" customFormat="1" ht="20.100000000000001" customHeight="1" x14ac:dyDescent="0.3">
      <c r="A162" s="16"/>
      <c r="B162" s="17"/>
      <c r="C162" s="10"/>
      <c r="D162" s="11"/>
      <c r="E162" s="11"/>
      <c r="F162" s="11"/>
      <c r="G162" s="96"/>
      <c r="H162" s="18"/>
      <c r="I162" s="11"/>
      <c r="J162" s="11"/>
      <c r="K162" s="10"/>
      <c r="L162" s="11"/>
      <c r="M162" s="124"/>
      <c r="N162" s="11"/>
      <c r="P162" s="139"/>
    </row>
    <row r="163" spans="1:16" s="20" customFormat="1" ht="20.100000000000001" customHeight="1" x14ac:dyDescent="0.3">
      <c r="A163" s="16"/>
      <c r="B163" s="17"/>
      <c r="C163" s="10"/>
      <c r="D163" s="11"/>
      <c r="E163" s="11"/>
      <c r="F163" s="11"/>
      <c r="G163" s="96"/>
      <c r="H163" s="18"/>
      <c r="I163" s="11"/>
      <c r="J163" s="11"/>
      <c r="K163" s="10"/>
      <c r="L163" s="11"/>
      <c r="M163" s="124"/>
      <c r="N163" s="11"/>
      <c r="P163" s="139"/>
    </row>
    <row r="164" spans="1:16" s="20" customFormat="1" ht="20.100000000000001" customHeight="1" x14ac:dyDescent="0.3">
      <c r="A164" s="16"/>
      <c r="B164" s="17"/>
      <c r="C164" s="10"/>
      <c r="D164" s="11"/>
      <c r="E164" s="11"/>
      <c r="F164" s="11"/>
      <c r="G164" s="96"/>
      <c r="H164" s="18"/>
      <c r="I164" s="11"/>
      <c r="J164" s="11"/>
      <c r="K164" s="10"/>
      <c r="L164" s="11"/>
      <c r="M164" s="124"/>
      <c r="N164" s="11"/>
      <c r="P164" s="139"/>
    </row>
    <row r="165" spans="1:16" s="20" customFormat="1" ht="20.100000000000001" customHeight="1" x14ac:dyDescent="0.3">
      <c r="A165" s="16"/>
      <c r="B165" s="17"/>
      <c r="C165" s="10"/>
      <c r="D165" s="11"/>
      <c r="E165" s="11"/>
      <c r="F165" s="11"/>
      <c r="G165" s="96"/>
      <c r="H165" s="18"/>
      <c r="I165" s="11"/>
      <c r="J165" s="11"/>
      <c r="K165" s="10"/>
      <c r="L165" s="11"/>
      <c r="M165" s="124"/>
      <c r="N165" s="11"/>
      <c r="P165" s="139"/>
    </row>
    <row r="166" spans="1:16" s="20" customFormat="1" ht="20.100000000000001" customHeight="1" x14ac:dyDescent="0.3">
      <c r="A166" s="16"/>
      <c r="B166" s="17"/>
      <c r="C166" s="10"/>
      <c r="D166" s="11"/>
      <c r="E166" s="11"/>
      <c r="F166" s="11"/>
      <c r="G166" s="96"/>
      <c r="H166" s="18"/>
      <c r="I166" s="11"/>
      <c r="J166" s="11"/>
      <c r="K166" s="10"/>
      <c r="L166" s="11"/>
      <c r="M166" s="124"/>
      <c r="N166" s="11"/>
      <c r="P166" s="139"/>
    </row>
    <row r="167" spans="1:16" s="20" customFormat="1" ht="20.100000000000001" customHeight="1" x14ac:dyDescent="0.3">
      <c r="A167" s="16"/>
      <c r="B167" s="17"/>
      <c r="C167" s="10"/>
      <c r="D167" s="11"/>
      <c r="E167" s="11"/>
      <c r="F167" s="11"/>
      <c r="G167" s="96"/>
      <c r="H167" s="18"/>
      <c r="I167" s="11"/>
      <c r="J167" s="11"/>
      <c r="K167" s="10"/>
      <c r="L167" s="11"/>
      <c r="M167" s="124"/>
      <c r="N167" s="11"/>
      <c r="P167" s="139"/>
    </row>
    <row r="168" spans="1:16" s="20" customFormat="1" ht="20.100000000000001" customHeight="1" x14ac:dyDescent="0.3">
      <c r="A168" s="16"/>
      <c r="B168" s="17"/>
      <c r="C168" s="10"/>
      <c r="D168" s="11"/>
      <c r="E168" s="11"/>
      <c r="F168" s="11"/>
      <c r="G168" s="96"/>
      <c r="H168" s="18"/>
      <c r="I168" s="11"/>
      <c r="J168" s="11"/>
      <c r="K168" s="10"/>
      <c r="L168" s="11"/>
      <c r="M168" s="124"/>
      <c r="N168" s="11"/>
      <c r="P168" s="139"/>
    </row>
    <row r="169" spans="1:16" s="20" customFormat="1" ht="20.100000000000001" customHeight="1" x14ac:dyDescent="0.3">
      <c r="A169" s="16"/>
      <c r="B169" s="17"/>
      <c r="C169" s="10"/>
      <c r="D169" s="11"/>
      <c r="E169" s="11"/>
      <c r="F169" s="11"/>
      <c r="G169" s="96"/>
      <c r="H169" s="18"/>
      <c r="I169" s="11"/>
      <c r="J169" s="11"/>
      <c r="K169" s="10"/>
      <c r="L169" s="11"/>
      <c r="M169" s="124"/>
      <c r="N169" s="11"/>
      <c r="P169" s="139"/>
    </row>
    <row r="170" spans="1:16" s="20" customFormat="1" ht="20.100000000000001" customHeight="1" x14ac:dyDescent="0.3">
      <c r="A170" s="16"/>
      <c r="B170" s="17"/>
      <c r="C170" s="10"/>
      <c r="D170" s="11"/>
      <c r="E170" s="11"/>
      <c r="F170" s="11"/>
      <c r="G170" s="96"/>
      <c r="H170" s="18"/>
      <c r="I170" s="11"/>
      <c r="J170" s="11"/>
      <c r="K170" s="10"/>
      <c r="L170" s="11"/>
      <c r="M170" s="124"/>
      <c r="N170" s="11"/>
      <c r="P170" s="139"/>
    </row>
    <row r="171" spans="1:16" s="20" customFormat="1" ht="20.100000000000001" customHeight="1" x14ac:dyDescent="0.3">
      <c r="A171" s="16"/>
      <c r="B171" s="17"/>
      <c r="C171" s="10"/>
      <c r="D171" s="11"/>
      <c r="E171" s="11"/>
      <c r="F171" s="11"/>
      <c r="G171" s="96"/>
      <c r="H171" s="18"/>
      <c r="I171" s="11"/>
      <c r="J171" s="11"/>
      <c r="K171" s="10"/>
      <c r="L171" s="11"/>
      <c r="M171" s="124"/>
      <c r="N171" s="11"/>
      <c r="P171" s="139"/>
    </row>
    <row r="172" spans="1:16" s="20" customFormat="1" ht="20.100000000000001" customHeight="1" x14ac:dyDescent="0.3">
      <c r="A172" s="16"/>
      <c r="B172" s="17"/>
      <c r="C172" s="10"/>
      <c r="D172" s="11"/>
      <c r="E172" s="11"/>
      <c r="F172" s="11"/>
      <c r="G172" s="96"/>
      <c r="H172" s="18"/>
      <c r="I172" s="11"/>
      <c r="J172" s="11"/>
      <c r="K172" s="10"/>
      <c r="L172" s="11"/>
      <c r="M172" s="124"/>
      <c r="N172" s="11"/>
      <c r="P172" s="139"/>
    </row>
    <row r="173" spans="1:16" s="20" customFormat="1" ht="20.100000000000001" customHeight="1" x14ac:dyDescent="0.3">
      <c r="A173" s="16"/>
      <c r="B173" s="17"/>
      <c r="C173" s="10"/>
      <c r="D173" s="11"/>
      <c r="E173" s="11"/>
      <c r="F173" s="11"/>
      <c r="G173" s="96"/>
      <c r="H173" s="18"/>
      <c r="I173" s="11"/>
      <c r="J173" s="11"/>
      <c r="K173" s="10"/>
      <c r="L173" s="11"/>
      <c r="M173" s="124"/>
      <c r="N173" s="11"/>
      <c r="P173" s="139"/>
    </row>
    <row r="174" spans="1:16" s="20" customFormat="1" ht="20.100000000000001" customHeight="1" x14ac:dyDescent="0.3">
      <c r="A174" s="16"/>
      <c r="B174" s="17"/>
      <c r="C174" s="10"/>
      <c r="D174" s="11"/>
      <c r="E174" s="11"/>
      <c r="F174" s="11"/>
      <c r="G174" s="96"/>
      <c r="H174" s="18"/>
      <c r="I174" s="11"/>
      <c r="J174" s="11"/>
      <c r="K174" s="10"/>
      <c r="L174" s="11"/>
      <c r="M174" s="124"/>
      <c r="N174" s="11"/>
      <c r="P174" s="139"/>
    </row>
    <row r="175" spans="1:16" s="20" customFormat="1" ht="20.100000000000001" customHeight="1" x14ac:dyDescent="0.3">
      <c r="A175" s="16"/>
      <c r="B175" s="17"/>
      <c r="C175" s="10"/>
      <c r="D175" s="11"/>
      <c r="E175" s="11"/>
      <c r="F175" s="11"/>
      <c r="G175" s="96"/>
      <c r="H175" s="18"/>
      <c r="I175" s="11"/>
      <c r="J175" s="11"/>
      <c r="K175" s="10"/>
      <c r="L175" s="11"/>
      <c r="M175" s="124"/>
      <c r="N175" s="11"/>
      <c r="P175" s="139"/>
    </row>
    <row r="176" spans="1:16" s="20" customFormat="1" ht="20.100000000000001" customHeight="1" x14ac:dyDescent="0.3">
      <c r="A176" s="16"/>
      <c r="B176" s="17"/>
      <c r="C176" s="10"/>
      <c r="D176" s="11"/>
      <c r="E176" s="11"/>
      <c r="F176" s="11"/>
      <c r="G176" s="96"/>
      <c r="H176" s="18"/>
      <c r="I176" s="11"/>
      <c r="J176" s="11"/>
      <c r="K176" s="10"/>
      <c r="L176" s="11"/>
      <c r="M176" s="124"/>
      <c r="N176" s="11"/>
      <c r="P176" s="139"/>
    </row>
    <row r="177" spans="1:16" s="20" customFormat="1" ht="20.100000000000001" customHeight="1" x14ac:dyDescent="0.3">
      <c r="A177" s="16"/>
      <c r="B177" s="17"/>
      <c r="C177" s="10"/>
      <c r="D177" s="11"/>
      <c r="E177" s="11"/>
      <c r="F177" s="11"/>
      <c r="G177" s="96"/>
      <c r="H177" s="18"/>
      <c r="I177" s="11"/>
      <c r="J177" s="11"/>
      <c r="K177" s="10"/>
      <c r="L177" s="11"/>
      <c r="M177" s="124"/>
      <c r="N177" s="11"/>
      <c r="P177" s="139"/>
    </row>
    <row r="178" spans="1:16" s="20" customFormat="1" ht="20.100000000000001" customHeight="1" x14ac:dyDescent="0.3">
      <c r="A178" s="16"/>
      <c r="B178" s="17"/>
      <c r="C178" s="10"/>
      <c r="D178" s="11"/>
      <c r="E178" s="11"/>
      <c r="F178" s="11"/>
      <c r="G178" s="96"/>
      <c r="H178" s="18"/>
      <c r="I178" s="11"/>
      <c r="J178" s="11"/>
      <c r="K178" s="10"/>
      <c r="L178" s="11"/>
      <c r="M178" s="124"/>
      <c r="N178" s="11"/>
      <c r="P178" s="139"/>
    </row>
    <row r="179" spans="1:16" s="20" customFormat="1" ht="20.100000000000001" customHeight="1" x14ac:dyDescent="0.3">
      <c r="A179" s="16"/>
      <c r="B179" s="17"/>
      <c r="C179" s="10"/>
      <c r="D179" s="11"/>
      <c r="E179" s="11"/>
      <c r="F179" s="11"/>
      <c r="G179" s="96"/>
      <c r="H179" s="18"/>
      <c r="I179" s="11"/>
      <c r="J179" s="11"/>
      <c r="K179" s="10"/>
      <c r="L179" s="11"/>
      <c r="M179" s="124"/>
      <c r="N179" s="11"/>
      <c r="P179" s="139"/>
    </row>
    <row r="180" spans="1:16" s="20" customFormat="1" ht="20.100000000000001" customHeight="1" x14ac:dyDescent="0.3">
      <c r="A180" s="16"/>
      <c r="B180" s="17"/>
      <c r="C180" s="10"/>
      <c r="D180" s="11"/>
      <c r="E180" s="11"/>
      <c r="F180" s="11"/>
      <c r="G180" s="96"/>
      <c r="H180" s="18"/>
      <c r="I180" s="11"/>
      <c r="J180" s="11"/>
      <c r="K180" s="10"/>
      <c r="L180" s="11"/>
      <c r="M180" s="124"/>
      <c r="N180" s="11"/>
      <c r="P180" s="139"/>
    </row>
    <row r="181" spans="1:16" s="20" customFormat="1" ht="20.100000000000001" customHeight="1" x14ac:dyDescent="0.3">
      <c r="A181" s="16"/>
      <c r="B181" s="17"/>
      <c r="C181" s="10"/>
      <c r="D181" s="11"/>
      <c r="E181" s="11"/>
      <c r="F181" s="11"/>
      <c r="G181" s="96"/>
      <c r="H181" s="18"/>
      <c r="I181" s="11"/>
      <c r="J181" s="11"/>
      <c r="K181" s="10"/>
      <c r="L181" s="11"/>
      <c r="M181" s="124"/>
      <c r="N181" s="11"/>
      <c r="P181" s="139"/>
    </row>
    <row r="182" spans="1:16" s="20" customFormat="1" ht="20.100000000000001" customHeight="1" x14ac:dyDescent="0.3">
      <c r="A182" s="16"/>
      <c r="B182" s="17"/>
      <c r="C182" s="10"/>
      <c r="D182" s="11"/>
      <c r="E182" s="11"/>
      <c r="F182" s="11"/>
      <c r="G182" s="96"/>
      <c r="H182" s="18"/>
      <c r="I182" s="11"/>
      <c r="J182" s="11"/>
      <c r="K182" s="10"/>
      <c r="L182" s="11"/>
      <c r="M182" s="124"/>
      <c r="N182" s="11"/>
      <c r="P182" s="139"/>
    </row>
    <row r="183" spans="1:16" s="20" customFormat="1" ht="20.100000000000001" customHeight="1" x14ac:dyDescent="0.3">
      <c r="A183" s="16"/>
      <c r="B183" s="17"/>
      <c r="C183" s="10"/>
      <c r="D183" s="11"/>
      <c r="E183" s="11"/>
      <c r="F183" s="11"/>
      <c r="G183" s="96"/>
      <c r="H183" s="18"/>
      <c r="I183" s="11"/>
      <c r="J183" s="11"/>
      <c r="K183" s="10"/>
      <c r="L183" s="11"/>
      <c r="M183" s="124"/>
      <c r="N183" s="11"/>
      <c r="P183" s="139"/>
    </row>
    <row r="184" spans="1:16" s="20" customFormat="1" ht="20.100000000000001" customHeight="1" x14ac:dyDescent="0.3">
      <c r="A184" s="16"/>
      <c r="B184" s="17"/>
      <c r="C184" s="10"/>
      <c r="D184" s="11"/>
      <c r="E184" s="11"/>
      <c r="F184" s="11"/>
      <c r="G184" s="96"/>
      <c r="H184" s="18"/>
      <c r="I184" s="11"/>
      <c r="J184" s="11"/>
      <c r="K184" s="10"/>
      <c r="L184" s="11"/>
      <c r="M184" s="124"/>
      <c r="N184" s="11"/>
      <c r="P184" s="139"/>
    </row>
    <row r="185" spans="1:16" s="20" customFormat="1" ht="20.100000000000001" customHeight="1" x14ac:dyDescent="0.3">
      <c r="A185" s="16"/>
      <c r="B185" s="17"/>
      <c r="C185" s="10"/>
      <c r="D185" s="11"/>
      <c r="E185" s="11"/>
      <c r="F185" s="11"/>
      <c r="G185" s="96"/>
      <c r="H185" s="18"/>
      <c r="I185" s="11"/>
      <c r="J185" s="11"/>
      <c r="K185" s="10"/>
      <c r="L185" s="11"/>
      <c r="M185" s="124"/>
      <c r="N185" s="11"/>
      <c r="P185" s="139"/>
    </row>
    <row r="186" spans="1:16" s="20" customFormat="1" ht="20.100000000000001" customHeight="1" x14ac:dyDescent="0.3">
      <c r="A186" s="16"/>
      <c r="B186" s="17"/>
      <c r="C186" s="10"/>
      <c r="D186" s="11"/>
      <c r="E186" s="11"/>
      <c r="F186" s="11"/>
      <c r="G186" s="96"/>
      <c r="H186" s="18"/>
      <c r="I186" s="11"/>
      <c r="J186" s="11"/>
      <c r="K186" s="10"/>
      <c r="L186" s="11"/>
      <c r="M186" s="124"/>
      <c r="N186" s="11"/>
      <c r="P186" s="139"/>
    </row>
    <row r="187" spans="1:16" s="20" customFormat="1" ht="20.100000000000001" customHeight="1" x14ac:dyDescent="0.3">
      <c r="A187" s="16"/>
      <c r="B187" s="17"/>
      <c r="C187" s="10"/>
      <c r="D187" s="11"/>
      <c r="E187" s="11"/>
      <c r="F187" s="11"/>
      <c r="G187" s="96"/>
      <c r="H187" s="18"/>
      <c r="I187" s="11"/>
      <c r="J187" s="11"/>
      <c r="K187" s="10"/>
      <c r="L187" s="11"/>
      <c r="M187" s="124"/>
      <c r="N187" s="11"/>
      <c r="P187" s="139"/>
    </row>
    <row r="188" spans="1:16" s="20" customFormat="1" ht="20.100000000000001" customHeight="1" x14ac:dyDescent="0.3">
      <c r="A188" s="16"/>
      <c r="B188" s="17"/>
      <c r="C188" s="10"/>
      <c r="D188" s="11"/>
      <c r="E188" s="11"/>
      <c r="F188" s="11"/>
      <c r="G188" s="96"/>
      <c r="H188" s="18"/>
      <c r="I188" s="11"/>
      <c r="J188" s="11"/>
      <c r="K188" s="10"/>
      <c r="L188" s="11"/>
      <c r="M188" s="124"/>
      <c r="N188" s="11"/>
      <c r="P188" s="139"/>
    </row>
    <row r="189" spans="1:16" s="20" customFormat="1" ht="20.100000000000001" customHeight="1" x14ac:dyDescent="0.3">
      <c r="A189" s="16"/>
      <c r="B189" s="17"/>
      <c r="C189" s="10"/>
      <c r="D189" s="11"/>
      <c r="E189" s="11"/>
      <c r="F189" s="11"/>
      <c r="G189" s="96"/>
      <c r="H189" s="18"/>
      <c r="I189" s="11"/>
      <c r="J189" s="11"/>
      <c r="K189" s="10"/>
      <c r="L189" s="11"/>
      <c r="M189" s="124"/>
      <c r="N189" s="11"/>
      <c r="P189" s="139"/>
    </row>
    <row r="190" spans="1:16" s="20" customFormat="1" ht="20.100000000000001" customHeight="1" x14ac:dyDescent="0.3">
      <c r="A190" s="16"/>
      <c r="B190" s="17"/>
      <c r="C190" s="10"/>
      <c r="D190" s="11"/>
      <c r="E190" s="11"/>
      <c r="F190" s="11"/>
      <c r="G190" s="96"/>
      <c r="H190" s="18"/>
      <c r="I190" s="11"/>
      <c r="J190" s="11"/>
      <c r="K190" s="10"/>
      <c r="L190" s="11"/>
      <c r="M190" s="124"/>
      <c r="N190" s="11"/>
      <c r="P190" s="139"/>
    </row>
    <row r="191" spans="1:16" s="20" customFormat="1" ht="20.100000000000001" customHeight="1" x14ac:dyDescent="0.3">
      <c r="A191" s="16"/>
      <c r="B191" s="17"/>
      <c r="C191" s="10"/>
      <c r="D191" s="11"/>
      <c r="E191" s="11"/>
      <c r="F191" s="11"/>
      <c r="G191" s="96"/>
      <c r="H191" s="18"/>
      <c r="I191" s="11"/>
      <c r="J191" s="11"/>
      <c r="K191" s="10"/>
      <c r="L191" s="11"/>
      <c r="M191" s="124"/>
      <c r="N191" s="11"/>
      <c r="P191" s="139"/>
    </row>
  </sheetData>
  <autoFilter ref="A2:J2"/>
  <mergeCells count="43">
    <mergeCell ref="A1:J1"/>
    <mergeCell ref="H3:H6"/>
    <mergeCell ref="I3:I6"/>
    <mergeCell ref="J3:J6"/>
    <mergeCell ref="H7:H10"/>
    <mergeCell ref="I7:I10"/>
    <mergeCell ref="J7:J10"/>
    <mergeCell ref="H11:H14"/>
    <mergeCell ref="I11:I14"/>
    <mergeCell ref="J11:J14"/>
    <mergeCell ref="H15:H18"/>
    <mergeCell ref="I15:I18"/>
    <mergeCell ref="J15:J18"/>
    <mergeCell ref="H19:H22"/>
    <mergeCell ref="I19:I22"/>
    <mergeCell ref="J19:J22"/>
    <mergeCell ref="H23:H26"/>
    <mergeCell ref="I23:I26"/>
    <mergeCell ref="J23:J26"/>
    <mergeCell ref="H27:H30"/>
    <mergeCell ref="I27:I30"/>
    <mergeCell ref="J27:J30"/>
    <mergeCell ref="H31:H34"/>
    <mergeCell ref="I31:I34"/>
    <mergeCell ref="J31:J34"/>
    <mergeCell ref="H35:H38"/>
    <mergeCell ref="I35:I38"/>
    <mergeCell ref="J35:J38"/>
    <mergeCell ref="H39:H42"/>
    <mergeCell ref="I39:I42"/>
    <mergeCell ref="J39:J42"/>
    <mergeCell ref="H43:H46"/>
    <mergeCell ref="I43:I46"/>
    <mergeCell ref="J43:J46"/>
    <mergeCell ref="H47:H50"/>
    <mergeCell ref="I47:I50"/>
    <mergeCell ref="J47:J50"/>
    <mergeCell ref="H51:H54"/>
    <mergeCell ref="I51:I54"/>
    <mergeCell ref="J51:J54"/>
    <mergeCell ref="H55:H58"/>
    <mergeCell ref="I55:I58"/>
    <mergeCell ref="J55:J58"/>
  </mergeCells>
  <conditionalFormatting sqref="G7">
    <cfRule type="expression" dxfId="2" priority="2">
      <formula>AND($H$3=$M$3)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8.75" x14ac:dyDescent="0.3"/>
  <cols>
    <col min="1" max="1" width="5.42578125" style="10" customWidth="1"/>
    <col min="2" max="2" width="15.5703125" style="10" customWidth="1"/>
    <col min="3" max="3" width="40.140625" style="10" customWidth="1"/>
    <col min="4" max="4" width="9.140625" style="38"/>
    <col min="5" max="7" width="12.7109375" style="38" customWidth="1"/>
    <col min="8" max="8" width="14.28515625" style="39" customWidth="1"/>
    <col min="9" max="9" width="20.85546875" style="38" customWidth="1"/>
    <col min="10" max="10" width="10.140625" style="35" customWidth="1"/>
    <col min="11" max="11" width="17.5703125" style="10" customWidth="1"/>
    <col min="12" max="12" width="40.28515625" style="10" bestFit="1" customWidth="1"/>
    <col min="13" max="13" width="15.140625" style="11" customWidth="1"/>
    <col min="14" max="14" width="9.140625" style="11"/>
    <col min="15" max="15" width="9.140625" style="10"/>
    <col min="16" max="16" width="27.7109375" style="10" customWidth="1"/>
    <col min="17" max="16384" width="9.140625" style="10"/>
  </cols>
  <sheetData>
    <row r="1" spans="1:16" ht="41.25" customHeight="1" thickBot="1" x14ac:dyDescent="0.35">
      <c r="B1" s="23"/>
      <c r="C1" s="156" t="s">
        <v>216</v>
      </c>
      <c r="D1" s="156"/>
      <c r="E1" s="156"/>
      <c r="F1" s="48"/>
      <c r="G1" s="48"/>
      <c r="H1" s="48"/>
      <c r="I1" s="48"/>
      <c r="J1" s="24"/>
    </row>
    <row r="2" spans="1:16" ht="49.5" customHeight="1" thickBot="1" x14ac:dyDescent="0.35">
      <c r="A2" s="7"/>
      <c r="B2" s="8" t="s">
        <v>191</v>
      </c>
      <c r="C2" s="8" t="s">
        <v>192</v>
      </c>
      <c r="D2" s="25" t="s">
        <v>194</v>
      </c>
      <c r="E2" s="53" t="s">
        <v>219</v>
      </c>
      <c r="F2" s="53" t="s">
        <v>220</v>
      </c>
      <c r="G2" s="53" t="s">
        <v>221</v>
      </c>
      <c r="H2" s="26" t="s">
        <v>207</v>
      </c>
      <c r="I2" s="22" t="s">
        <v>208</v>
      </c>
      <c r="J2" s="27"/>
      <c r="K2" s="5" t="s">
        <v>191</v>
      </c>
      <c r="L2" s="5" t="s">
        <v>192</v>
      </c>
      <c r="M2" s="28" t="s">
        <v>209</v>
      </c>
      <c r="N2" s="28" t="s">
        <v>210</v>
      </c>
      <c r="P2" s="29" t="s">
        <v>217</v>
      </c>
    </row>
    <row r="3" spans="1:16" ht="19.5" thickBot="1" x14ac:dyDescent="0.35">
      <c r="A3" s="7">
        <v>1</v>
      </c>
      <c r="B3" s="7" t="s">
        <v>40</v>
      </c>
      <c r="C3" s="7" t="s">
        <v>52</v>
      </c>
      <c r="D3" s="2">
        <v>1</v>
      </c>
      <c r="E3" s="50">
        <v>6.9444444444444447E-4</v>
      </c>
      <c r="F3" s="50">
        <v>3.2303240740740737E-2</v>
      </c>
      <c r="G3" s="50">
        <f>IF(ISBLANK(F3),"",F3-E3)</f>
        <v>3.1608796296296295E-2</v>
      </c>
      <c r="H3" s="51"/>
      <c r="I3" s="52">
        <f>IF(ISBLANK(F3),"",G3+TIME(H3*2,H3,0))</f>
        <v>3.1608796296296295E-2</v>
      </c>
      <c r="J3" s="30"/>
      <c r="K3" s="31" t="str">
        <f>INDEX(B:B,MATCH(M3,I:I,0))</f>
        <v>ц.35</v>
      </c>
      <c r="L3" s="31" t="str">
        <f>INDEX(C:C,MATCH(M3,I:I,0))</f>
        <v>Ивахно Любовь Сергеевна</v>
      </c>
      <c r="M3" s="40">
        <f>IFERROR(SMALL(I3:I200,1)," ")</f>
        <v>3.1608796296296295E-2</v>
      </c>
      <c r="N3" s="41" t="s">
        <v>211</v>
      </c>
    </row>
    <row r="4" spans="1:16" ht="19.5" thickBot="1" x14ac:dyDescent="0.35">
      <c r="A4" s="7">
        <v>2</v>
      </c>
      <c r="B4" s="7" t="s">
        <v>59</v>
      </c>
      <c r="C4" s="7" t="s">
        <v>205</v>
      </c>
      <c r="D4" s="2">
        <v>2</v>
      </c>
      <c r="E4" s="25">
        <v>1.3888888888888889E-3</v>
      </c>
      <c r="F4" s="25">
        <v>0.10390046296296296</v>
      </c>
      <c r="G4" s="25">
        <f t="shared" ref="G4:G67" si="0">IF(ISBLANK(F4),"",F4-E4)</f>
        <v>0.10251157407407407</v>
      </c>
      <c r="H4" s="36"/>
      <c r="I4" s="6">
        <f t="shared" ref="I4:I67" si="1">IF(ISBLANK(F4),"",G4+TIME(H4*2,H4,0))</f>
        <v>0.10251157407407407</v>
      </c>
      <c r="J4" s="30"/>
      <c r="K4" s="32" t="str">
        <f t="shared" ref="K4:K7" si="2">INDEX(B:B,MATCH(M4,I:I,0))</f>
        <v>ОТД+ОГК</v>
      </c>
      <c r="L4" s="32" t="str">
        <f t="shared" ref="L4:L7" si="3">INDEX(C:C,MATCH(M4,I:I,0))</f>
        <v>Дорощенко Елена Ивановна</v>
      </c>
      <c r="M4" s="42">
        <f>IFERROR(SMALL(I3:I200,2)," ")</f>
        <v>5.9814814814814814E-2</v>
      </c>
      <c r="N4" s="43" t="s">
        <v>212</v>
      </c>
    </row>
    <row r="5" spans="1:16" ht="19.5" thickBot="1" x14ac:dyDescent="0.35">
      <c r="A5" s="7">
        <v>3</v>
      </c>
      <c r="B5" s="7" t="s">
        <v>74</v>
      </c>
      <c r="C5" s="7" t="s">
        <v>75</v>
      </c>
      <c r="D5" s="2">
        <v>3</v>
      </c>
      <c r="E5" s="25">
        <v>2.0833333333333298E-3</v>
      </c>
      <c r="F5" s="25">
        <v>0.10390046296296296</v>
      </c>
      <c r="G5" s="25">
        <f t="shared" si="0"/>
        <v>0.10181712962962963</v>
      </c>
      <c r="H5" s="36"/>
      <c r="I5" s="6">
        <f t="shared" si="1"/>
        <v>0.10181712962962963</v>
      </c>
      <c r="J5" s="30"/>
      <c r="K5" s="33" t="str">
        <f t="shared" si="2"/>
        <v>ЦНИОКР</v>
      </c>
      <c r="L5" s="33" t="str">
        <f t="shared" si="3"/>
        <v>Абрамова Елена Геннадьевна</v>
      </c>
      <c r="M5" s="44">
        <f>IFERROR(SMALL(I3:I200,3)," ")</f>
        <v>6.1018518518518583E-2</v>
      </c>
      <c r="N5" s="45" t="s">
        <v>213</v>
      </c>
    </row>
    <row r="6" spans="1:16" ht="19.5" thickBot="1" x14ac:dyDescent="0.35">
      <c r="A6" s="7">
        <v>4</v>
      </c>
      <c r="B6" s="7" t="s">
        <v>120</v>
      </c>
      <c r="C6" s="7" t="s">
        <v>126</v>
      </c>
      <c r="D6" s="2">
        <v>4</v>
      </c>
      <c r="E6" s="25">
        <v>2.7777777777777701E-3</v>
      </c>
      <c r="F6" s="25">
        <v>4.9918981481481474E-2</v>
      </c>
      <c r="G6" s="25">
        <f t="shared" si="0"/>
        <v>4.7141203703703706E-2</v>
      </c>
      <c r="H6" s="36">
        <v>1</v>
      </c>
      <c r="I6" s="6">
        <f t="shared" si="1"/>
        <v>0.13116898148148148</v>
      </c>
      <c r="J6" s="30"/>
      <c r="K6" s="34" t="str">
        <f t="shared" si="2"/>
        <v>ОГМетр</v>
      </c>
      <c r="L6" s="34" t="str">
        <f t="shared" si="3"/>
        <v>Евдокименко Елена Владимировна</v>
      </c>
      <c r="M6" s="46">
        <f>IFERROR(SMALL(I3:I200,4)," ")</f>
        <v>6.5104166666666685E-2</v>
      </c>
      <c r="N6" s="47" t="s">
        <v>214</v>
      </c>
    </row>
    <row r="7" spans="1:16" ht="19.5" thickBot="1" x14ac:dyDescent="0.35">
      <c r="A7" s="7">
        <v>5</v>
      </c>
      <c r="B7" s="7" t="s">
        <v>136</v>
      </c>
      <c r="C7" s="7" t="s">
        <v>141</v>
      </c>
      <c r="D7" s="2">
        <v>5</v>
      </c>
      <c r="E7" s="25">
        <v>3.4722222222222199E-3</v>
      </c>
      <c r="F7" s="25">
        <v>6.3287037037037031E-2</v>
      </c>
      <c r="G7" s="25">
        <f t="shared" si="0"/>
        <v>5.9814814814814814E-2</v>
      </c>
      <c r="H7" s="36"/>
      <c r="I7" s="6">
        <f t="shared" si="1"/>
        <v>5.9814814814814814E-2</v>
      </c>
      <c r="J7" s="30"/>
      <c r="K7" s="34" t="str">
        <f t="shared" si="2"/>
        <v>АХС</v>
      </c>
      <c r="L7" s="34" t="str">
        <f t="shared" si="3"/>
        <v>Дай Ольга Николаевна</v>
      </c>
      <c r="M7" s="46">
        <f>IFERROR(SMALL(I3:I200,5)," ")</f>
        <v>6.5185185185185179E-2</v>
      </c>
      <c r="N7" s="47" t="s">
        <v>215</v>
      </c>
    </row>
    <row r="8" spans="1:16" x14ac:dyDescent="0.3">
      <c r="A8" s="7">
        <v>6</v>
      </c>
      <c r="B8" s="7" t="s">
        <v>153</v>
      </c>
      <c r="C8" s="7" t="s">
        <v>161</v>
      </c>
      <c r="D8" s="2">
        <v>6</v>
      </c>
      <c r="E8" s="25">
        <v>4.1666666666666597E-3</v>
      </c>
      <c r="F8" s="25">
        <v>7.2418981481481473E-2</v>
      </c>
      <c r="G8" s="25">
        <f t="shared" si="0"/>
        <v>6.8252314814814807E-2</v>
      </c>
      <c r="H8" s="36"/>
      <c r="I8" s="6">
        <f t="shared" si="1"/>
        <v>6.8252314814814807E-2</v>
      </c>
      <c r="J8" s="30"/>
    </row>
    <row r="9" spans="1:16" x14ac:dyDescent="0.3">
      <c r="A9" s="7">
        <v>7</v>
      </c>
      <c r="B9" s="7" t="s">
        <v>172</v>
      </c>
      <c r="C9" s="7" t="s">
        <v>186</v>
      </c>
      <c r="D9" s="2">
        <v>7</v>
      </c>
      <c r="E9" s="25">
        <v>4.8611111111111103E-3</v>
      </c>
      <c r="F9" s="25">
        <v>7.4131944444444445E-2</v>
      </c>
      <c r="G9" s="25">
        <f t="shared" si="0"/>
        <v>6.9270833333333337E-2</v>
      </c>
      <c r="H9" s="36"/>
      <c r="I9" s="6">
        <f t="shared" si="1"/>
        <v>6.9270833333333337E-2</v>
      </c>
      <c r="J9" s="30"/>
    </row>
    <row r="10" spans="1:16" x14ac:dyDescent="0.3">
      <c r="A10" s="7">
        <v>8</v>
      </c>
      <c r="B10" s="7" t="s">
        <v>74</v>
      </c>
      <c r="C10" s="7" t="s">
        <v>76</v>
      </c>
      <c r="D10" s="2">
        <v>8</v>
      </c>
      <c r="E10" s="25">
        <v>5.5555555555555497E-3</v>
      </c>
      <c r="F10" s="25">
        <v>8.6238425925925913E-2</v>
      </c>
      <c r="G10" s="25">
        <f t="shared" si="0"/>
        <v>8.0682870370370363E-2</v>
      </c>
      <c r="H10" s="36"/>
      <c r="I10" s="6">
        <f t="shared" si="1"/>
        <v>8.0682870370370363E-2</v>
      </c>
      <c r="J10" s="30"/>
    </row>
    <row r="11" spans="1:16" x14ac:dyDescent="0.3">
      <c r="A11" s="7">
        <v>9</v>
      </c>
      <c r="B11" s="7" t="s">
        <v>120</v>
      </c>
      <c r="C11" s="7" t="s">
        <v>127</v>
      </c>
      <c r="D11" s="2">
        <v>9</v>
      </c>
      <c r="E11" s="25">
        <v>6.2500000000000003E-3</v>
      </c>
      <c r="F11" s="25">
        <v>7.1435185185185185E-2</v>
      </c>
      <c r="G11" s="25">
        <f t="shared" si="0"/>
        <v>6.5185185185185179E-2</v>
      </c>
      <c r="H11" s="36"/>
      <c r="I11" s="6">
        <f t="shared" si="1"/>
        <v>6.5185185185185179E-2</v>
      </c>
      <c r="J11" s="30"/>
    </row>
    <row r="12" spans="1:16" x14ac:dyDescent="0.3">
      <c r="A12" s="7">
        <v>10</v>
      </c>
      <c r="B12" s="7" t="s">
        <v>153</v>
      </c>
      <c r="C12" s="7" t="s">
        <v>162</v>
      </c>
      <c r="D12" s="2">
        <v>10</v>
      </c>
      <c r="E12" s="37">
        <v>6.9444444444444397E-3</v>
      </c>
      <c r="F12" s="37">
        <v>8.6365740740740729E-2</v>
      </c>
      <c r="G12" s="25">
        <f t="shared" si="0"/>
        <v>7.9421296296296295E-2</v>
      </c>
      <c r="H12" s="36"/>
      <c r="I12" s="6">
        <f t="shared" si="1"/>
        <v>7.9421296296296295E-2</v>
      </c>
      <c r="J12" s="30"/>
    </row>
    <row r="13" spans="1:16" x14ac:dyDescent="0.3">
      <c r="A13" s="7">
        <v>11</v>
      </c>
      <c r="B13" s="7" t="s">
        <v>120</v>
      </c>
      <c r="C13" s="7" t="s">
        <v>128</v>
      </c>
      <c r="D13" s="2">
        <v>11</v>
      </c>
      <c r="E13" s="37">
        <v>7.63888888888888E-3</v>
      </c>
      <c r="F13" s="25">
        <v>7.4131944444444445E-2</v>
      </c>
      <c r="G13" s="25">
        <f t="shared" si="0"/>
        <v>6.6493055555555569E-2</v>
      </c>
      <c r="H13" s="36"/>
      <c r="I13" s="6">
        <f t="shared" si="1"/>
        <v>6.6493055555555569E-2</v>
      </c>
      <c r="J13" s="30"/>
    </row>
    <row r="14" spans="1:16" x14ac:dyDescent="0.3">
      <c r="A14" s="7">
        <v>12</v>
      </c>
      <c r="B14" s="7" t="s">
        <v>153</v>
      </c>
      <c r="C14" s="7" t="s">
        <v>164</v>
      </c>
      <c r="D14" s="2">
        <v>12</v>
      </c>
      <c r="E14" s="37">
        <v>8.3333333333333297E-3</v>
      </c>
      <c r="F14" s="25">
        <v>8.6238425925925913E-2</v>
      </c>
      <c r="G14" s="25">
        <f t="shared" si="0"/>
        <v>7.7905092592592581E-2</v>
      </c>
      <c r="H14" s="36"/>
      <c r="I14" s="6">
        <f t="shared" si="1"/>
        <v>7.7905092592592581E-2</v>
      </c>
      <c r="J14" s="30"/>
    </row>
    <row r="15" spans="1:16" x14ac:dyDescent="0.3">
      <c r="A15" s="7">
        <v>13</v>
      </c>
      <c r="B15" s="7" t="s">
        <v>243</v>
      </c>
      <c r="C15" s="7" t="s">
        <v>245</v>
      </c>
      <c r="D15" s="2">
        <v>13</v>
      </c>
      <c r="E15" s="37">
        <v>9.0277777777777596E-3</v>
      </c>
      <c r="F15" s="25">
        <v>7.4131944444444445E-2</v>
      </c>
      <c r="G15" s="25">
        <f t="shared" si="0"/>
        <v>6.5104166666666685E-2</v>
      </c>
      <c r="H15" s="36"/>
      <c r="I15" s="6">
        <f t="shared" si="1"/>
        <v>6.5104166666666685E-2</v>
      </c>
      <c r="J15" s="30"/>
    </row>
    <row r="16" spans="1:16" x14ac:dyDescent="0.3">
      <c r="A16" s="7">
        <v>14</v>
      </c>
      <c r="B16" s="7" t="s">
        <v>258</v>
      </c>
      <c r="C16" s="7" t="s">
        <v>260</v>
      </c>
      <c r="D16" s="2">
        <v>14</v>
      </c>
      <c r="E16" s="37">
        <v>9.7222222222221998E-3</v>
      </c>
      <c r="F16" s="25">
        <v>8.6238425925925913E-2</v>
      </c>
      <c r="G16" s="25">
        <f t="shared" si="0"/>
        <v>7.6516203703703711E-2</v>
      </c>
      <c r="H16" s="36"/>
      <c r="I16" s="6">
        <f t="shared" si="1"/>
        <v>7.6516203703703711E-2</v>
      </c>
      <c r="J16" s="30"/>
    </row>
    <row r="17" spans="1:10" x14ac:dyDescent="0.3">
      <c r="A17" s="7">
        <v>15</v>
      </c>
      <c r="B17" s="7" t="s">
        <v>258</v>
      </c>
      <c r="C17" s="7" t="s">
        <v>270</v>
      </c>
      <c r="D17" s="2">
        <v>15</v>
      </c>
      <c r="E17" s="37">
        <v>1.04166666666666E-2</v>
      </c>
      <c r="F17" s="25">
        <v>7.1435185185185185E-2</v>
      </c>
      <c r="G17" s="25">
        <f t="shared" si="0"/>
        <v>6.1018518518518583E-2</v>
      </c>
      <c r="H17" s="36"/>
      <c r="I17" s="6">
        <f t="shared" si="1"/>
        <v>6.1018518518518583E-2</v>
      </c>
      <c r="J17" s="30"/>
    </row>
    <row r="18" spans="1:10" x14ac:dyDescent="0.3">
      <c r="A18" s="7">
        <v>16</v>
      </c>
      <c r="B18" s="7"/>
      <c r="C18" s="7"/>
      <c r="D18" s="25"/>
      <c r="E18" s="37"/>
      <c r="F18" s="37"/>
      <c r="G18" s="25" t="str">
        <f t="shared" si="0"/>
        <v/>
      </c>
      <c r="H18" s="36"/>
      <c r="I18" s="6" t="str">
        <f t="shared" si="1"/>
        <v/>
      </c>
      <c r="J18" s="30"/>
    </row>
    <row r="19" spans="1:10" x14ac:dyDescent="0.3">
      <c r="A19" s="7">
        <v>17</v>
      </c>
      <c r="B19" s="7"/>
      <c r="C19" s="7"/>
      <c r="D19" s="25"/>
      <c r="E19" s="37"/>
      <c r="F19" s="37"/>
      <c r="G19" s="25" t="str">
        <f t="shared" si="0"/>
        <v/>
      </c>
      <c r="H19" s="36"/>
      <c r="I19" s="6" t="str">
        <f t="shared" si="1"/>
        <v/>
      </c>
      <c r="J19" s="30"/>
    </row>
    <row r="20" spans="1:10" x14ac:dyDescent="0.3">
      <c r="A20" s="7">
        <v>18</v>
      </c>
      <c r="B20" s="7"/>
      <c r="C20" s="7"/>
      <c r="D20" s="25"/>
      <c r="E20" s="37"/>
      <c r="F20" s="37"/>
      <c r="G20" s="25" t="str">
        <f t="shared" si="0"/>
        <v/>
      </c>
      <c r="H20" s="36"/>
      <c r="I20" s="6" t="str">
        <f t="shared" si="1"/>
        <v/>
      </c>
      <c r="J20" s="30"/>
    </row>
    <row r="21" spans="1:10" x14ac:dyDescent="0.3">
      <c r="A21" s="7">
        <v>19</v>
      </c>
      <c r="B21" s="7"/>
      <c r="C21" s="49"/>
      <c r="D21" s="25"/>
      <c r="E21" s="37"/>
      <c r="F21" s="37"/>
      <c r="G21" s="25" t="str">
        <f t="shared" si="0"/>
        <v/>
      </c>
      <c r="H21" s="36"/>
      <c r="I21" s="6" t="str">
        <f t="shared" si="1"/>
        <v/>
      </c>
      <c r="J21" s="30"/>
    </row>
    <row r="22" spans="1:10" x14ac:dyDescent="0.3">
      <c r="A22" s="7">
        <v>20</v>
      </c>
      <c r="B22" s="7" t="str">
        <f>IFERROR(INDEX('Список ориентирование '!G:G,MATCH(A22,'Список ориентирование '!J:J,0)),"")</f>
        <v/>
      </c>
      <c r="C22" s="49" t="str">
        <f>IFERROR(INDEX('Список ориентирование '!H:H,MATCH(A22,'Список ориентирование '!J:J,0)),"")</f>
        <v/>
      </c>
      <c r="D22" s="25"/>
      <c r="E22" s="25"/>
      <c r="F22" s="25"/>
      <c r="G22" s="25" t="str">
        <f t="shared" si="0"/>
        <v/>
      </c>
      <c r="H22" s="36"/>
      <c r="I22" s="6" t="str">
        <f t="shared" si="1"/>
        <v/>
      </c>
      <c r="J22" s="30"/>
    </row>
    <row r="23" spans="1:10" x14ac:dyDescent="0.3">
      <c r="A23" s="7">
        <v>21</v>
      </c>
      <c r="B23" s="7" t="str">
        <f>IFERROR(INDEX('Список ориентирование '!G:G,MATCH(A23,'Список ориентирование '!J:J,0)),"")</f>
        <v/>
      </c>
      <c r="C23" s="49" t="str">
        <f>IFERROR(INDEX('Список ориентирование '!H:H,MATCH(A23,'Список ориентирование '!J:J,0)),"")</f>
        <v/>
      </c>
      <c r="D23" s="25"/>
      <c r="E23" s="25"/>
      <c r="F23" s="25"/>
      <c r="G23" s="25" t="str">
        <f t="shared" si="0"/>
        <v/>
      </c>
      <c r="H23" s="36"/>
      <c r="I23" s="6" t="str">
        <f t="shared" si="1"/>
        <v/>
      </c>
      <c r="J23" s="30"/>
    </row>
    <row r="24" spans="1:10" x14ac:dyDescent="0.3">
      <c r="A24" s="7">
        <v>22</v>
      </c>
      <c r="B24" s="7" t="str">
        <f>IFERROR(INDEX('Список ориентирование '!G:G,MATCH(A24,'Список ориентирование '!J:J,0)),"")</f>
        <v/>
      </c>
      <c r="C24" s="49" t="str">
        <f>IFERROR(INDEX('Список ориентирование '!H:H,MATCH(A24,'Список ориентирование '!J:J,0)),"")</f>
        <v/>
      </c>
      <c r="D24" s="25"/>
      <c r="E24" s="25"/>
      <c r="F24" s="25"/>
      <c r="G24" s="25" t="str">
        <f t="shared" si="0"/>
        <v/>
      </c>
      <c r="H24" s="36"/>
      <c r="I24" s="6" t="str">
        <f t="shared" si="1"/>
        <v/>
      </c>
      <c r="J24" s="30"/>
    </row>
    <row r="25" spans="1:10" x14ac:dyDescent="0.3">
      <c r="A25" s="7">
        <v>23</v>
      </c>
      <c r="B25" s="7" t="str">
        <f>IFERROR(INDEX('Список ориентирование '!G:G,MATCH(A25,'Список ориентирование '!J:J,0)),"")</f>
        <v/>
      </c>
      <c r="C25" s="49" t="str">
        <f>IFERROR(INDEX('Список ориентирование '!H:H,MATCH(A25,'Список ориентирование '!J:J,0)),"")</f>
        <v/>
      </c>
      <c r="D25" s="25"/>
      <c r="E25" s="25"/>
      <c r="F25" s="25"/>
      <c r="G25" s="25" t="str">
        <f t="shared" si="0"/>
        <v/>
      </c>
      <c r="H25" s="36"/>
      <c r="I25" s="6" t="str">
        <f t="shared" si="1"/>
        <v/>
      </c>
      <c r="J25" s="30"/>
    </row>
    <row r="26" spans="1:10" x14ac:dyDescent="0.3">
      <c r="A26" s="7">
        <v>24</v>
      </c>
      <c r="B26" s="7" t="str">
        <f>IFERROR(INDEX('Список ориентирование '!G:G,MATCH(A26,'Список ориентирование '!J:J,0)),"")</f>
        <v/>
      </c>
      <c r="C26" s="49" t="str">
        <f>IFERROR(INDEX('Список ориентирование '!H:H,MATCH(A26,'Список ориентирование '!J:J,0)),"")</f>
        <v/>
      </c>
      <c r="D26" s="25"/>
      <c r="E26" s="25"/>
      <c r="F26" s="25"/>
      <c r="G26" s="25" t="str">
        <f t="shared" si="0"/>
        <v/>
      </c>
      <c r="H26" s="36"/>
      <c r="I26" s="6" t="str">
        <f t="shared" si="1"/>
        <v/>
      </c>
      <c r="J26" s="30"/>
    </row>
    <row r="27" spans="1:10" x14ac:dyDescent="0.3">
      <c r="A27" s="7">
        <v>25</v>
      </c>
      <c r="B27" s="7" t="str">
        <f>IFERROR(INDEX('Список ориентирование '!G:G,MATCH(A27,'Список ориентирование '!J:J,0)),"")</f>
        <v/>
      </c>
      <c r="C27" s="49" t="str">
        <f>IFERROR(INDEX('Список ориентирование '!H:H,MATCH(A27,'Список ориентирование '!J:J,0)),"")</f>
        <v/>
      </c>
      <c r="D27" s="25"/>
      <c r="E27" s="25"/>
      <c r="F27" s="25"/>
      <c r="G27" s="25" t="str">
        <f t="shared" si="0"/>
        <v/>
      </c>
      <c r="H27" s="36"/>
      <c r="I27" s="6" t="str">
        <f t="shared" si="1"/>
        <v/>
      </c>
      <c r="J27" s="30"/>
    </row>
    <row r="28" spans="1:10" x14ac:dyDescent="0.3">
      <c r="A28" s="7">
        <v>26</v>
      </c>
      <c r="B28" s="7" t="str">
        <f>IFERROR(INDEX('Список ориентирование '!G:G,MATCH(A28,'Список ориентирование '!J:J,0)),"")</f>
        <v/>
      </c>
      <c r="C28" s="49" t="str">
        <f>IFERROR(INDEX('Список ориентирование '!H:H,MATCH(A28,'Список ориентирование '!J:J,0)),"")</f>
        <v/>
      </c>
      <c r="D28" s="25"/>
      <c r="E28" s="25"/>
      <c r="F28" s="25"/>
      <c r="G28" s="25" t="str">
        <f t="shared" si="0"/>
        <v/>
      </c>
      <c r="H28" s="36"/>
      <c r="I28" s="6" t="str">
        <f t="shared" si="1"/>
        <v/>
      </c>
      <c r="J28" s="30"/>
    </row>
    <row r="29" spans="1:10" x14ac:dyDescent="0.3">
      <c r="A29" s="7">
        <v>27</v>
      </c>
      <c r="B29" s="7" t="str">
        <f>IFERROR(INDEX('Список ориентирование '!G:G,MATCH(A29,'Список ориентирование '!J:J,0)),"")</f>
        <v/>
      </c>
      <c r="C29" s="49" t="str">
        <f>IFERROR(INDEX('Список ориентирование '!H:H,MATCH(A29,'Список ориентирование '!J:J,0)),"")</f>
        <v/>
      </c>
      <c r="D29" s="25"/>
      <c r="E29" s="25"/>
      <c r="F29" s="25"/>
      <c r="G29" s="25" t="str">
        <f t="shared" si="0"/>
        <v/>
      </c>
      <c r="H29" s="36"/>
      <c r="I29" s="6" t="str">
        <f t="shared" si="1"/>
        <v/>
      </c>
      <c r="J29" s="30"/>
    </row>
    <row r="30" spans="1:10" x14ac:dyDescent="0.3">
      <c r="A30" s="7">
        <v>28</v>
      </c>
      <c r="B30" s="7" t="str">
        <f>IFERROR(INDEX('Список ориентирование '!G:G,MATCH(A30,'Список ориентирование '!J:J,0)),"")</f>
        <v/>
      </c>
      <c r="C30" s="49" t="str">
        <f>IFERROR(INDEX('Список ориентирование '!H:H,MATCH(A30,'Список ориентирование '!J:J,0)),"")</f>
        <v/>
      </c>
      <c r="D30" s="25"/>
      <c r="E30" s="25"/>
      <c r="F30" s="25"/>
      <c r="G30" s="25" t="str">
        <f t="shared" si="0"/>
        <v/>
      </c>
      <c r="H30" s="36"/>
      <c r="I30" s="6" t="str">
        <f t="shared" si="1"/>
        <v/>
      </c>
      <c r="J30" s="30"/>
    </row>
    <row r="31" spans="1:10" x14ac:dyDescent="0.3">
      <c r="A31" s="7">
        <v>29</v>
      </c>
      <c r="B31" s="7" t="str">
        <f>IFERROR(INDEX('Список ориентирование '!G:G,MATCH(A31,'Список ориентирование '!J:J,0)),"")</f>
        <v/>
      </c>
      <c r="C31" s="49" t="str">
        <f>IFERROR(INDEX('Список ориентирование '!H:H,MATCH(A31,'Список ориентирование '!J:J,0)),"")</f>
        <v/>
      </c>
      <c r="D31" s="25"/>
      <c r="E31" s="25"/>
      <c r="F31" s="25"/>
      <c r="G31" s="25" t="str">
        <f t="shared" si="0"/>
        <v/>
      </c>
      <c r="H31" s="36"/>
      <c r="I31" s="6" t="str">
        <f t="shared" si="1"/>
        <v/>
      </c>
      <c r="J31" s="30"/>
    </row>
    <row r="32" spans="1:10" x14ac:dyDescent="0.3">
      <c r="A32" s="7">
        <v>30</v>
      </c>
      <c r="B32" s="7" t="str">
        <f>IFERROR(INDEX('Список ориентирование '!G:G,MATCH(A32,'Список ориентирование '!J:J,0)),"")</f>
        <v/>
      </c>
      <c r="C32" s="49" t="str">
        <f>IFERROR(INDEX('Список ориентирование '!H:H,MATCH(A32,'Список ориентирование '!J:J,0)),"")</f>
        <v/>
      </c>
      <c r="D32" s="25"/>
      <c r="E32" s="25"/>
      <c r="F32" s="25"/>
      <c r="G32" s="25" t="str">
        <f t="shared" si="0"/>
        <v/>
      </c>
      <c r="H32" s="36"/>
      <c r="I32" s="6" t="str">
        <f t="shared" si="1"/>
        <v/>
      </c>
      <c r="J32" s="30"/>
    </row>
    <row r="33" spans="1:10" x14ac:dyDescent="0.3">
      <c r="A33" s="7">
        <v>31</v>
      </c>
      <c r="B33" s="7" t="str">
        <f>IFERROR(INDEX('Список ориентирование '!G:G,MATCH(A33,'Список ориентирование '!J:J,0)),"")</f>
        <v/>
      </c>
      <c r="C33" s="49" t="str">
        <f>IFERROR(INDEX('Список ориентирование '!H:H,MATCH(A33,'Список ориентирование '!J:J,0)),"")</f>
        <v/>
      </c>
      <c r="D33" s="25"/>
      <c r="E33" s="25"/>
      <c r="F33" s="25"/>
      <c r="G33" s="25" t="str">
        <f t="shared" si="0"/>
        <v/>
      </c>
      <c r="H33" s="36"/>
      <c r="I33" s="6" t="str">
        <f t="shared" si="1"/>
        <v/>
      </c>
      <c r="J33" s="30"/>
    </row>
    <row r="34" spans="1:10" x14ac:dyDescent="0.3">
      <c r="A34" s="7">
        <v>32</v>
      </c>
      <c r="B34" s="7" t="str">
        <f>IFERROR(INDEX('Список ориентирование '!G:G,MATCH(A34,'Список ориентирование '!J:J,0)),"")</f>
        <v/>
      </c>
      <c r="C34" s="49" t="str">
        <f>IFERROR(INDEX('Список ориентирование '!H:H,MATCH(A34,'Список ориентирование '!J:J,0)),"")</f>
        <v/>
      </c>
      <c r="D34" s="25"/>
      <c r="E34" s="25"/>
      <c r="F34" s="25"/>
      <c r="G34" s="25" t="str">
        <f t="shared" si="0"/>
        <v/>
      </c>
      <c r="H34" s="36"/>
      <c r="I34" s="6" t="str">
        <f t="shared" si="1"/>
        <v/>
      </c>
      <c r="J34" s="30"/>
    </row>
    <row r="35" spans="1:10" x14ac:dyDescent="0.3">
      <c r="A35" s="7">
        <v>33</v>
      </c>
      <c r="B35" s="7" t="str">
        <f>IFERROR(INDEX('Список ориентирование '!G:G,MATCH(A35,'Список ориентирование '!J:J,0)),"")</f>
        <v/>
      </c>
      <c r="C35" s="49" t="str">
        <f>IFERROR(INDEX('Список ориентирование '!H:H,MATCH(A35,'Список ориентирование '!J:J,0)),"")</f>
        <v/>
      </c>
      <c r="D35" s="25"/>
      <c r="E35" s="25"/>
      <c r="F35" s="25"/>
      <c r="G35" s="25" t="str">
        <f t="shared" si="0"/>
        <v/>
      </c>
      <c r="H35" s="36"/>
      <c r="I35" s="6" t="str">
        <f t="shared" si="1"/>
        <v/>
      </c>
      <c r="J35" s="30"/>
    </row>
    <row r="36" spans="1:10" x14ac:dyDescent="0.3">
      <c r="A36" s="7">
        <v>34</v>
      </c>
      <c r="B36" s="7" t="str">
        <f>IFERROR(INDEX('Список ориентирование '!G:G,MATCH(A36,'Список ориентирование '!J:J,0)),"")</f>
        <v/>
      </c>
      <c r="C36" s="49" t="str">
        <f>IFERROR(INDEX('Список ориентирование '!H:H,MATCH(A36,'Список ориентирование '!J:J,0)),"")</f>
        <v/>
      </c>
      <c r="D36" s="25"/>
      <c r="E36" s="25"/>
      <c r="F36" s="25"/>
      <c r="G36" s="25" t="str">
        <f t="shared" si="0"/>
        <v/>
      </c>
      <c r="H36" s="36"/>
      <c r="I36" s="6" t="str">
        <f t="shared" si="1"/>
        <v/>
      </c>
    </row>
    <row r="37" spans="1:10" x14ac:dyDescent="0.3">
      <c r="A37" s="7">
        <v>35</v>
      </c>
      <c r="B37" s="7" t="str">
        <f>IFERROR(INDEX('Список ориентирование '!G:G,MATCH(A37,'Список ориентирование '!J:J,0)),"")</f>
        <v/>
      </c>
      <c r="C37" s="49" t="str">
        <f>IFERROR(INDEX('Список ориентирование '!H:H,MATCH(A37,'Список ориентирование '!J:J,0)),"")</f>
        <v/>
      </c>
      <c r="D37" s="25"/>
      <c r="E37" s="25"/>
      <c r="F37" s="25"/>
      <c r="G37" s="25" t="str">
        <f t="shared" si="0"/>
        <v/>
      </c>
      <c r="H37" s="36"/>
      <c r="I37" s="6" t="str">
        <f t="shared" si="1"/>
        <v/>
      </c>
    </row>
    <row r="38" spans="1:10" x14ac:dyDescent="0.3">
      <c r="A38" s="7">
        <v>36</v>
      </c>
      <c r="B38" s="7" t="str">
        <f>IFERROR(INDEX('Список ориентирование '!G:G,MATCH(A38,'Список ориентирование '!J:J,0)),"")</f>
        <v/>
      </c>
      <c r="C38" s="49" t="str">
        <f>IFERROR(INDEX('Список ориентирование '!H:H,MATCH(A38,'Список ориентирование '!J:J,0)),"")</f>
        <v/>
      </c>
      <c r="D38" s="25"/>
      <c r="E38" s="25"/>
      <c r="F38" s="25"/>
      <c r="G38" s="25" t="str">
        <f t="shared" si="0"/>
        <v/>
      </c>
      <c r="H38" s="36"/>
      <c r="I38" s="6" t="str">
        <f t="shared" si="1"/>
        <v/>
      </c>
    </row>
    <row r="39" spans="1:10" x14ac:dyDescent="0.3">
      <c r="A39" s="7">
        <v>37</v>
      </c>
      <c r="B39" s="7" t="str">
        <f>IFERROR(INDEX('Список ориентирование '!G:G,MATCH(A39,'Список ориентирование '!J:J,0)),"")</f>
        <v/>
      </c>
      <c r="C39" s="49" t="str">
        <f>IFERROR(INDEX('Список ориентирование '!H:H,MATCH(A39,'Список ориентирование '!J:J,0)),"")</f>
        <v/>
      </c>
      <c r="D39" s="25"/>
      <c r="E39" s="25"/>
      <c r="F39" s="25"/>
      <c r="G39" s="25" t="str">
        <f t="shared" si="0"/>
        <v/>
      </c>
      <c r="H39" s="36"/>
      <c r="I39" s="6" t="str">
        <f t="shared" si="1"/>
        <v/>
      </c>
    </row>
    <row r="40" spans="1:10" x14ac:dyDescent="0.3">
      <c r="A40" s="7">
        <v>38</v>
      </c>
      <c r="B40" s="7" t="str">
        <f>IFERROR(INDEX('Список ориентирование '!G:G,MATCH(A40,'Список ориентирование '!J:J,0)),"")</f>
        <v/>
      </c>
      <c r="C40" s="49" t="str">
        <f>IFERROR(INDEX('Список ориентирование '!H:H,MATCH(A40,'Список ориентирование '!J:J,0)),"")</f>
        <v/>
      </c>
      <c r="D40" s="25"/>
      <c r="E40" s="25"/>
      <c r="F40" s="25"/>
      <c r="G40" s="25" t="str">
        <f t="shared" si="0"/>
        <v/>
      </c>
      <c r="H40" s="36"/>
      <c r="I40" s="6" t="str">
        <f t="shared" si="1"/>
        <v/>
      </c>
    </row>
    <row r="41" spans="1:10" x14ac:dyDescent="0.3">
      <c r="A41" s="7">
        <v>39</v>
      </c>
      <c r="B41" s="7" t="str">
        <f>IFERROR(INDEX('Список ориентирование '!G:G,MATCH(A41,'Список ориентирование '!J:J,0)),"")</f>
        <v/>
      </c>
      <c r="C41" s="49" t="str">
        <f>IFERROR(INDEX('Список ориентирование '!H:H,MATCH(A41,'Список ориентирование '!J:J,0)),"")</f>
        <v/>
      </c>
      <c r="D41" s="25"/>
      <c r="E41" s="25"/>
      <c r="F41" s="25"/>
      <c r="G41" s="25" t="str">
        <f t="shared" si="0"/>
        <v/>
      </c>
      <c r="H41" s="36"/>
      <c r="I41" s="6" t="str">
        <f t="shared" si="1"/>
        <v/>
      </c>
    </row>
    <row r="42" spans="1:10" x14ac:dyDescent="0.3">
      <c r="A42" s="7">
        <v>40</v>
      </c>
      <c r="B42" s="7" t="str">
        <f>IFERROR(INDEX('Список ориентирование '!G:G,MATCH(A42,'Список ориентирование '!J:J,0)),"")</f>
        <v/>
      </c>
      <c r="C42" s="49" t="str">
        <f>IFERROR(INDEX('Список ориентирование '!H:H,MATCH(A42,'Список ориентирование '!J:J,0)),"")</f>
        <v/>
      </c>
      <c r="D42" s="25"/>
      <c r="E42" s="25"/>
      <c r="F42" s="25"/>
      <c r="G42" s="25" t="str">
        <f t="shared" si="0"/>
        <v/>
      </c>
      <c r="H42" s="36"/>
      <c r="I42" s="6" t="str">
        <f t="shared" si="1"/>
        <v/>
      </c>
    </row>
    <row r="43" spans="1:10" x14ac:dyDescent="0.3">
      <c r="A43" s="7">
        <v>41</v>
      </c>
      <c r="B43" s="7" t="str">
        <f>IFERROR(INDEX('Список ориентирование '!G:G,MATCH(A43,'Список ориентирование '!J:J,0)),"")</f>
        <v/>
      </c>
      <c r="C43" s="49" t="str">
        <f>IFERROR(INDEX('Список ориентирование '!H:H,MATCH(A43,'Список ориентирование '!J:J,0)),"")</f>
        <v/>
      </c>
      <c r="D43" s="25"/>
      <c r="E43" s="25"/>
      <c r="F43" s="25"/>
      <c r="G43" s="25" t="str">
        <f t="shared" si="0"/>
        <v/>
      </c>
      <c r="H43" s="36"/>
      <c r="I43" s="6" t="str">
        <f t="shared" si="1"/>
        <v/>
      </c>
    </row>
    <row r="44" spans="1:10" x14ac:dyDescent="0.3">
      <c r="A44" s="7">
        <v>42</v>
      </c>
      <c r="B44" s="7" t="str">
        <f>IFERROR(INDEX('Список ориентирование '!G:G,MATCH(A44,'Список ориентирование '!J:J,0)),"")</f>
        <v/>
      </c>
      <c r="C44" s="49" t="str">
        <f>IFERROR(INDEX('Список ориентирование '!H:H,MATCH(A44,'Список ориентирование '!J:J,0)),"")</f>
        <v/>
      </c>
      <c r="D44" s="25"/>
      <c r="E44" s="25"/>
      <c r="F44" s="25"/>
      <c r="G44" s="25" t="str">
        <f t="shared" si="0"/>
        <v/>
      </c>
      <c r="H44" s="36"/>
      <c r="I44" s="6" t="str">
        <f t="shared" si="1"/>
        <v/>
      </c>
    </row>
    <row r="45" spans="1:10" x14ac:dyDescent="0.3">
      <c r="A45" s="7">
        <v>43</v>
      </c>
      <c r="B45" s="7" t="str">
        <f>IFERROR(INDEX('Список ориентирование '!G:G,MATCH(A45,'Список ориентирование '!J:J,0)),"")</f>
        <v/>
      </c>
      <c r="C45" s="49" t="str">
        <f>IFERROR(INDEX('Список ориентирование '!H:H,MATCH(A45,'Список ориентирование '!J:J,0)),"")</f>
        <v/>
      </c>
      <c r="D45" s="25"/>
      <c r="E45" s="25"/>
      <c r="F45" s="25"/>
      <c r="G45" s="25" t="str">
        <f t="shared" si="0"/>
        <v/>
      </c>
      <c r="H45" s="36"/>
      <c r="I45" s="6" t="str">
        <f t="shared" si="1"/>
        <v/>
      </c>
    </row>
    <row r="46" spans="1:10" x14ac:dyDescent="0.3">
      <c r="A46" s="7">
        <v>44</v>
      </c>
      <c r="B46" s="7" t="str">
        <f>IFERROR(INDEX('Список ориентирование '!G:G,MATCH(A46,'Список ориентирование '!J:J,0)),"")</f>
        <v/>
      </c>
      <c r="C46" s="49" t="str">
        <f>IFERROR(INDEX('Список ориентирование '!H:H,MATCH(A46,'Список ориентирование '!J:J,0)),"")</f>
        <v/>
      </c>
      <c r="D46" s="25"/>
      <c r="E46" s="25"/>
      <c r="F46" s="25"/>
      <c r="G46" s="25" t="str">
        <f t="shared" si="0"/>
        <v/>
      </c>
      <c r="H46" s="36"/>
      <c r="I46" s="6" t="str">
        <f t="shared" si="1"/>
        <v/>
      </c>
    </row>
    <row r="47" spans="1:10" x14ac:dyDescent="0.3">
      <c r="A47" s="7">
        <v>45</v>
      </c>
      <c r="B47" s="7" t="str">
        <f>IFERROR(INDEX('Список ориентирование '!G:G,MATCH(A47,'Список ориентирование '!J:J,0)),"")</f>
        <v/>
      </c>
      <c r="C47" s="49" t="str">
        <f>IFERROR(INDEX('Список ориентирование '!H:H,MATCH(A47,'Список ориентирование '!J:J,0)),"")</f>
        <v/>
      </c>
      <c r="D47" s="25"/>
      <c r="E47" s="25"/>
      <c r="F47" s="25"/>
      <c r="G47" s="25" t="str">
        <f t="shared" si="0"/>
        <v/>
      </c>
      <c r="H47" s="36"/>
      <c r="I47" s="6" t="str">
        <f t="shared" si="1"/>
        <v/>
      </c>
    </row>
    <row r="48" spans="1:10" x14ac:dyDescent="0.3">
      <c r="A48" s="7">
        <v>46</v>
      </c>
      <c r="B48" s="7" t="str">
        <f>IFERROR(INDEX('Список ориентирование '!G:G,MATCH(A48,'Список ориентирование '!J:J,0)),"")</f>
        <v/>
      </c>
      <c r="C48" s="49" t="str">
        <f>IFERROR(INDEX('Список ориентирование '!H:H,MATCH(A48,'Список ориентирование '!J:J,0)),"")</f>
        <v/>
      </c>
      <c r="D48" s="25"/>
      <c r="E48" s="25"/>
      <c r="F48" s="25"/>
      <c r="G48" s="25" t="str">
        <f t="shared" si="0"/>
        <v/>
      </c>
      <c r="H48" s="36"/>
      <c r="I48" s="6" t="str">
        <f t="shared" si="1"/>
        <v/>
      </c>
    </row>
    <row r="49" spans="1:9" x14ac:dyDescent="0.3">
      <c r="A49" s="7">
        <v>47</v>
      </c>
      <c r="B49" s="7" t="str">
        <f>IFERROR(INDEX('Список ориентирование '!G:G,MATCH(A49,'Список ориентирование '!J:J,0)),"")</f>
        <v/>
      </c>
      <c r="C49" s="49" t="str">
        <f>IFERROR(INDEX('Список ориентирование '!H:H,MATCH(A49,'Список ориентирование '!J:J,0)),"")</f>
        <v/>
      </c>
      <c r="D49" s="25"/>
      <c r="E49" s="25"/>
      <c r="F49" s="25"/>
      <c r="G49" s="25" t="str">
        <f t="shared" si="0"/>
        <v/>
      </c>
      <c r="H49" s="36"/>
      <c r="I49" s="6" t="str">
        <f t="shared" si="1"/>
        <v/>
      </c>
    </row>
    <row r="50" spans="1:9" x14ac:dyDescent="0.3">
      <c r="A50" s="7">
        <v>48</v>
      </c>
      <c r="B50" s="7" t="str">
        <f>IFERROR(INDEX('Список ориентирование '!G:G,MATCH(A50,'Список ориентирование '!J:J,0)),"")</f>
        <v/>
      </c>
      <c r="C50" s="49" t="str">
        <f>IFERROR(INDEX('Список ориентирование '!H:H,MATCH(A50,'Список ориентирование '!J:J,0)),"")</f>
        <v/>
      </c>
      <c r="D50" s="25"/>
      <c r="E50" s="25"/>
      <c r="F50" s="25"/>
      <c r="G50" s="25" t="str">
        <f t="shared" si="0"/>
        <v/>
      </c>
      <c r="H50" s="36"/>
      <c r="I50" s="6" t="str">
        <f t="shared" si="1"/>
        <v/>
      </c>
    </row>
    <row r="51" spans="1:9" x14ac:dyDescent="0.3">
      <c r="A51" s="7">
        <v>49</v>
      </c>
      <c r="B51" s="7" t="str">
        <f>IFERROR(INDEX('Список ориентирование '!G:G,MATCH(A51,'Список ориентирование '!J:J,0)),"")</f>
        <v/>
      </c>
      <c r="C51" s="49" t="str">
        <f>IFERROR(INDEX('Список ориентирование '!H:H,MATCH(A51,'Список ориентирование '!J:J,0)),"")</f>
        <v/>
      </c>
      <c r="D51" s="25"/>
      <c r="E51" s="25"/>
      <c r="F51" s="25"/>
      <c r="G51" s="25" t="str">
        <f t="shared" si="0"/>
        <v/>
      </c>
      <c r="H51" s="36"/>
      <c r="I51" s="6" t="str">
        <f t="shared" si="1"/>
        <v/>
      </c>
    </row>
    <row r="52" spans="1:9" x14ac:dyDescent="0.3">
      <c r="A52" s="7">
        <v>50</v>
      </c>
      <c r="B52" s="7" t="str">
        <f>IFERROR(INDEX('Список ориентирование '!G:G,MATCH(A52,'Список ориентирование '!J:J,0)),"")</f>
        <v/>
      </c>
      <c r="C52" s="49" t="str">
        <f>IFERROR(INDEX('Список ориентирование '!H:H,MATCH(A52,'Список ориентирование '!J:J,0)),"")</f>
        <v/>
      </c>
      <c r="D52" s="25"/>
      <c r="E52" s="25"/>
      <c r="F52" s="25"/>
      <c r="G52" s="25" t="str">
        <f t="shared" si="0"/>
        <v/>
      </c>
      <c r="H52" s="36"/>
      <c r="I52" s="6" t="str">
        <f t="shared" si="1"/>
        <v/>
      </c>
    </row>
    <row r="53" spans="1:9" x14ac:dyDescent="0.3">
      <c r="A53" s="7">
        <v>51</v>
      </c>
      <c r="B53" s="7" t="str">
        <f>IFERROR(INDEX('Список ориентирование '!G:G,MATCH(A53,'Список ориентирование '!J:J,0)),"")</f>
        <v/>
      </c>
      <c r="C53" s="49" t="str">
        <f>IFERROR(INDEX('Список ориентирование '!H:H,MATCH(A53,'Список ориентирование '!J:J,0)),"")</f>
        <v/>
      </c>
      <c r="D53" s="25"/>
      <c r="E53" s="25"/>
      <c r="F53" s="25"/>
      <c r="G53" s="25" t="str">
        <f t="shared" si="0"/>
        <v/>
      </c>
      <c r="H53" s="36"/>
      <c r="I53" s="6" t="str">
        <f t="shared" si="1"/>
        <v/>
      </c>
    </row>
    <row r="54" spans="1:9" x14ac:dyDescent="0.3">
      <c r="A54" s="7">
        <v>52</v>
      </c>
      <c r="B54" s="7" t="str">
        <f>IFERROR(INDEX('Список ориентирование '!G:G,MATCH(A54,'Список ориентирование '!J:J,0)),"")</f>
        <v/>
      </c>
      <c r="C54" s="49" t="str">
        <f>IFERROR(INDEX('Список ориентирование '!H:H,MATCH(A54,'Список ориентирование '!J:J,0)),"")</f>
        <v/>
      </c>
      <c r="D54" s="25"/>
      <c r="E54" s="25"/>
      <c r="F54" s="25"/>
      <c r="G54" s="25" t="str">
        <f t="shared" si="0"/>
        <v/>
      </c>
      <c r="H54" s="36"/>
      <c r="I54" s="6" t="str">
        <f t="shared" si="1"/>
        <v/>
      </c>
    </row>
    <row r="55" spans="1:9" x14ac:dyDescent="0.3">
      <c r="A55" s="7">
        <v>53</v>
      </c>
      <c r="B55" s="7" t="str">
        <f>IFERROR(INDEX('Список ориентирование '!G:G,MATCH(A55,'Список ориентирование '!J:J,0)),"")</f>
        <v/>
      </c>
      <c r="C55" s="49" t="str">
        <f>IFERROR(INDEX('Список ориентирование '!H:H,MATCH(A55,'Список ориентирование '!J:J,0)),"")</f>
        <v/>
      </c>
      <c r="D55" s="25"/>
      <c r="E55" s="25"/>
      <c r="F55" s="25"/>
      <c r="G55" s="25" t="str">
        <f t="shared" si="0"/>
        <v/>
      </c>
      <c r="H55" s="36"/>
      <c r="I55" s="6" t="str">
        <f t="shared" si="1"/>
        <v/>
      </c>
    </row>
    <row r="56" spans="1:9" x14ac:dyDescent="0.3">
      <c r="A56" s="7">
        <v>54</v>
      </c>
      <c r="B56" s="7" t="str">
        <f>IFERROR(INDEX('Список ориентирование '!G:G,MATCH(A56,'Список ориентирование '!J:J,0)),"")</f>
        <v/>
      </c>
      <c r="C56" s="49" t="str">
        <f>IFERROR(INDEX('Список ориентирование '!H:H,MATCH(A56,'Список ориентирование '!J:J,0)),"")</f>
        <v/>
      </c>
      <c r="D56" s="25"/>
      <c r="E56" s="25"/>
      <c r="F56" s="25"/>
      <c r="G56" s="25" t="str">
        <f t="shared" si="0"/>
        <v/>
      </c>
      <c r="H56" s="36"/>
      <c r="I56" s="6" t="str">
        <f t="shared" si="1"/>
        <v/>
      </c>
    </row>
    <row r="57" spans="1:9" x14ac:dyDescent="0.3">
      <c r="A57" s="7">
        <v>55</v>
      </c>
      <c r="B57" s="7" t="str">
        <f>IFERROR(INDEX('Список ориентирование '!G:G,MATCH(A57,'Список ориентирование '!J:J,0)),"")</f>
        <v/>
      </c>
      <c r="C57" s="49" t="str">
        <f>IFERROR(INDEX('Список ориентирование '!H:H,MATCH(A57,'Список ориентирование '!J:J,0)),"")</f>
        <v/>
      </c>
      <c r="D57" s="25"/>
      <c r="E57" s="25"/>
      <c r="F57" s="25"/>
      <c r="G57" s="25" t="str">
        <f t="shared" si="0"/>
        <v/>
      </c>
      <c r="H57" s="36"/>
      <c r="I57" s="6" t="str">
        <f t="shared" si="1"/>
        <v/>
      </c>
    </row>
    <row r="58" spans="1:9" x14ac:dyDescent="0.3">
      <c r="A58" s="7">
        <v>56</v>
      </c>
      <c r="B58" s="7" t="str">
        <f>IFERROR(INDEX('Список ориентирование '!G:G,MATCH(A58,'Список ориентирование '!J:J,0)),"")</f>
        <v/>
      </c>
      <c r="C58" s="49" t="str">
        <f>IFERROR(INDEX('Список ориентирование '!H:H,MATCH(A58,'Список ориентирование '!J:J,0)),"")</f>
        <v/>
      </c>
      <c r="D58" s="25"/>
      <c r="E58" s="25"/>
      <c r="F58" s="25"/>
      <c r="G58" s="25" t="str">
        <f t="shared" si="0"/>
        <v/>
      </c>
      <c r="H58" s="36"/>
      <c r="I58" s="6" t="str">
        <f t="shared" si="1"/>
        <v/>
      </c>
    </row>
    <row r="59" spans="1:9" x14ac:dyDescent="0.3">
      <c r="A59" s="7">
        <v>57</v>
      </c>
      <c r="B59" s="7" t="str">
        <f>IFERROR(INDEX('Список ориентирование '!G:G,MATCH(A59,'Список ориентирование '!J:J,0)),"")</f>
        <v/>
      </c>
      <c r="C59" s="49" t="str">
        <f>IFERROR(INDEX('Список ориентирование '!H:H,MATCH(A59,'Список ориентирование '!J:J,0)),"")</f>
        <v/>
      </c>
      <c r="D59" s="25"/>
      <c r="E59" s="25"/>
      <c r="F59" s="25"/>
      <c r="G59" s="25" t="str">
        <f t="shared" si="0"/>
        <v/>
      </c>
      <c r="H59" s="36"/>
      <c r="I59" s="6" t="str">
        <f t="shared" si="1"/>
        <v/>
      </c>
    </row>
    <row r="60" spans="1:9" x14ac:dyDescent="0.3">
      <c r="A60" s="7">
        <v>58</v>
      </c>
      <c r="B60" s="7" t="str">
        <f>IFERROR(INDEX('Список ориентирование '!G:G,MATCH(A60,'Список ориентирование '!J:J,0)),"")</f>
        <v/>
      </c>
      <c r="C60" s="49" t="str">
        <f>IFERROR(INDEX('Список ориентирование '!H:H,MATCH(A60,'Список ориентирование '!J:J,0)),"")</f>
        <v/>
      </c>
      <c r="D60" s="25"/>
      <c r="E60" s="25"/>
      <c r="F60" s="25"/>
      <c r="G60" s="25" t="str">
        <f t="shared" si="0"/>
        <v/>
      </c>
      <c r="H60" s="36"/>
      <c r="I60" s="6" t="str">
        <f t="shared" si="1"/>
        <v/>
      </c>
    </row>
    <row r="61" spans="1:9" x14ac:dyDescent="0.3">
      <c r="A61" s="7">
        <v>59</v>
      </c>
      <c r="B61" s="7" t="str">
        <f>IFERROR(INDEX('Список ориентирование '!G:G,MATCH(A61,'Список ориентирование '!J:J,0)),"")</f>
        <v/>
      </c>
      <c r="C61" s="49" t="str">
        <f>IFERROR(INDEX('Список ориентирование '!H:H,MATCH(A61,'Список ориентирование '!J:J,0)),"")</f>
        <v/>
      </c>
      <c r="D61" s="25"/>
      <c r="E61" s="25"/>
      <c r="F61" s="25"/>
      <c r="G61" s="25" t="str">
        <f t="shared" si="0"/>
        <v/>
      </c>
      <c r="H61" s="36"/>
      <c r="I61" s="6" t="str">
        <f t="shared" si="1"/>
        <v/>
      </c>
    </row>
    <row r="62" spans="1:9" x14ac:dyDescent="0.3">
      <c r="A62" s="7">
        <v>60</v>
      </c>
      <c r="B62" s="7" t="str">
        <f>IFERROR(INDEX('Список ориентирование '!G:G,MATCH(A62,'Список ориентирование '!J:J,0)),"")</f>
        <v/>
      </c>
      <c r="C62" s="49" t="str">
        <f>IFERROR(INDEX('Список ориентирование '!H:H,MATCH(A62,'Список ориентирование '!J:J,0)),"")</f>
        <v/>
      </c>
      <c r="D62" s="25"/>
      <c r="E62" s="25"/>
      <c r="F62" s="25"/>
      <c r="G62" s="25" t="str">
        <f t="shared" si="0"/>
        <v/>
      </c>
      <c r="H62" s="36"/>
      <c r="I62" s="6" t="str">
        <f t="shared" si="1"/>
        <v/>
      </c>
    </row>
    <row r="63" spans="1:9" x14ac:dyDescent="0.3">
      <c r="A63" s="7">
        <v>61</v>
      </c>
      <c r="B63" s="7" t="str">
        <f>IFERROR(INDEX('Список ориентирование '!G:G,MATCH(A63,'Список ориентирование '!J:J,0)),"")</f>
        <v/>
      </c>
      <c r="C63" s="49" t="str">
        <f>IFERROR(INDEX('Список ориентирование '!H:H,MATCH(A63,'Список ориентирование '!J:J,0)),"")</f>
        <v/>
      </c>
      <c r="D63" s="25"/>
      <c r="E63" s="25"/>
      <c r="F63" s="25"/>
      <c r="G63" s="25" t="str">
        <f t="shared" si="0"/>
        <v/>
      </c>
      <c r="H63" s="36"/>
      <c r="I63" s="6" t="str">
        <f t="shared" si="1"/>
        <v/>
      </c>
    </row>
    <row r="64" spans="1:9" x14ac:dyDescent="0.3">
      <c r="A64" s="7">
        <v>62</v>
      </c>
      <c r="B64" s="7" t="str">
        <f>IFERROR(INDEX('Список ориентирование '!G:G,MATCH(A64,'Список ориентирование '!J:J,0)),"")</f>
        <v/>
      </c>
      <c r="C64" s="49" t="str">
        <f>IFERROR(INDEX('Список ориентирование '!H:H,MATCH(A64,'Список ориентирование '!J:J,0)),"")</f>
        <v/>
      </c>
      <c r="D64" s="25"/>
      <c r="E64" s="25"/>
      <c r="F64" s="25"/>
      <c r="G64" s="25" t="str">
        <f t="shared" si="0"/>
        <v/>
      </c>
      <c r="H64" s="36"/>
      <c r="I64" s="6" t="str">
        <f t="shared" si="1"/>
        <v/>
      </c>
    </row>
    <row r="65" spans="1:9" x14ac:dyDescent="0.3">
      <c r="A65" s="7">
        <v>63</v>
      </c>
      <c r="B65" s="7" t="str">
        <f>IFERROR(INDEX('Список ориентирование '!G:G,MATCH(A65,'Список ориентирование '!J:J,0)),"")</f>
        <v/>
      </c>
      <c r="C65" s="49" t="str">
        <f>IFERROR(INDEX('Список ориентирование '!H:H,MATCH(A65,'Список ориентирование '!J:J,0)),"")</f>
        <v/>
      </c>
      <c r="D65" s="25"/>
      <c r="E65" s="25"/>
      <c r="F65" s="25"/>
      <c r="G65" s="25" t="str">
        <f t="shared" si="0"/>
        <v/>
      </c>
      <c r="H65" s="36"/>
      <c r="I65" s="6" t="str">
        <f t="shared" si="1"/>
        <v/>
      </c>
    </row>
    <row r="66" spans="1:9" x14ac:dyDescent="0.3">
      <c r="A66" s="7">
        <v>64</v>
      </c>
      <c r="B66" s="7" t="str">
        <f>IFERROR(INDEX('Список ориентирование '!G:G,MATCH(A66,'Список ориентирование '!J:J,0)),"")</f>
        <v/>
      </c>
      <c r="C66" s="49" t="str">
        <f>IFERROR(INDEX('Список ориентирование '!H:H,MATCH(A66,'Список ориентирование '!J:J,0)),"")</f>
        <v/>
      </c>
      <c r="D66" s="25"/>
      <c r="E66" s="25"/>
      <c r="F66" s="25"/>
      <c r="G66" s="25" t="str">
        <f t="shared" si="0"/>
        <v/>
      </c>
      <c r="H66" s="36"/>
      <c r="I66" s="6" t="str">
        <f t="shared" si="1"/>
        <v/>
      </c>
    </row>
    <row r="67" spans="1:9" x14ac:dyDescent="0.3">
      <c r="A67" s="7">
        <v>65</v>
      </c>
      <c r="B67" s="7" t="str">
        <f>IFERROR(INDEX('Список ориентирование '!G:G,MATCH(A67,'Список ориентирование '!J:J,0)),"")</f>
        <v/>
      </c>
      <c r="C67" s="49" t="str">
        <f>IFERROR(INDEX('Список ориентирование '!H:H,MATCH(A67,'Список ориентирование '!J:J,0)),"")</f>
        <v/>
      </c>
      <c r="D67" s="25"/>
      <c r="E67" s="25"/>
      <c r="F67" s="25"/>
      <c r="G67" s="25" t="str">
        <f t="shared" si="0"/>
        <v/>
      </c>
      <c r="H67" s="36"/>
      <c r="I67" s="6" t="str">
        <f t="shared" si="1"/>
        <v/>
      </c>
    </row>
    <row r="68" spans="1:9" x14ac:dyDescent="0.3">
      <c r="A68" s="7">
        <v>66</v>
      </c>
      <c r="B68" s="7" t="str">
        <f>IFERROR(INDEX('Список ориентирование '!G:G,MATCH(A68,'Список ориентирование '!J:J,0)),"")</f>
        <v/>
      </c>
      <c r="C68" s="49" t="str">
        <f>IFERROR(INDEX('Список ориентирование '!H:H,MATCH(A68,'Список ориентирование '!J:J,0)),"")</f>
        <v/>
      </c>
      <c r="D68" s="25"/>
      <c r="E68" s="25"/>
      <c r="F68" s="25"/>
      <c r="G68" s="25" t="str">
        <f t="shared" ref="G68:G101" si="4">IF(ISBLANK(F68),"",F68-E68)</f>
        <v/>
      </c>
      <c r="H68" s="36"/>
      <c r="I68" s="6" t="str">
        <f t="shared" ref="I68:I101" si="5">IF(ISBLANK(F68),"",G68+TIME(H68*2,H68,0))</f>
        <v/>
      </c>
    </row>
    <row r="69" spans="1:9" x14ac:dyDescent="0.3">
      <c r="A69" s="7">
        <v>67</v>
      </c>
      <c r="B69" s="7" t="str">
        <f>IFERROR(INDEX('Список ориентирование '!G:G,MATCH(A69,'Список ориентирование '!J:J,0)),"")</f>
        <v/>
      </c>
      <c r="C69" s="49" t="str">
        <f>IFERROR(INDEX('Список ориентирование '!H:H,MATCH(A69,'Список ориентирование '!J:J,0)),"")</f>
        <v/>
      </c>
      <c r="D69" s="25"/>
      <c r="E69" s="25"/>
      <c r="F69" s="25"/>
      <c r="G69" s="25" t="str">
        <f t="shared" si="4"/>
        <v/>
      </c>
      <c r="H69" s="36"/>
      <c r="I69" s="6" t="str">
        <f t="shared" si="5"/>
        <v/>
      </c>
    </row>
    <row r="70" spans="1:9" x14ac:dyDescent="0.3">
      <c r="A70" s="7">
        <v>68</v>
      </c>
      <c r="B70" s="7" t="str">
        <f>IFERROR(INDEX('Список ориентирование '!G:G,MATCH(A70,'Список ориентирование '!J:J,0)),"")</f>
        <v/>
      </c>
      <c r="C70" s="49" t="str">
        <f>IFERROR(INDEX('Список ориентирование '!H:H,MATCH(A70,'Список ориентирование '!J:J,0)),"")</f>
        <v/>
      </c>
      <c r="D70" s="25"/>
      <c r="E70" s="25"/>
      <c r="F70" s="25"/>
      <c r="G70" s="25" t="str">
        <f t="shared" si="4"/>
        <v/>
      </c>
      <c r="H70" s="36"/>
      <c r="I70" s="6" t="str">
        <f t="shared" si="5"/>
        <v/>
      </c>
    </row>
    <row r="71" spans="1:9" x14ac:dyDescent="0.3">
      <c r="A71" s="7">
        <v>69</v>
      </c>
      <c r="B71" s="7" t="str">
        <f>IFERROR(INDEX('Список ориентирование '!G:G,MATCH(A71,'Список ориентирование '!J:J,0)),"")</f>
        <v/>
      </c>
      <c r="C71" s="49" t="str">
        <f>IFERROR(INDEX('Список ориентирование '!H:H,MATCH(A71,'Список ориентирование '!J:J,0)),"")</f>
        <v/>
      </c>
      <c r="D71" s="25"/>
      <c r="E71" s="25"/>
      <c r="F71" s="25"/>
      <c r="G71" s="25" t="str">
        <f t="shared" si="4"/>
        <v/>
      </c>
      <c r="H71" s="36"/>
      <c r="I71" s="6" t="str">
        <f t="shared" si="5"/>
        <v/>
      </c>
    </row>
    <row r="72" spans="1:9" x14ac:dyDescent="0.3">
      <c r="A72" s="7">
        <v>70</v>
      </c>
      <c r="B72" s="7" t="str">
        <f>IFERROR(INDEX('Список ориентирование '!G:G,MATCH(A72,'Список ориентирование '!J:J,0)),"")</f>
        <v/>
      </c>
      <c r="C72" s="49" t="str">
        <f>IFERROR(INDEX('Список ориентирование '!H:H,MATCH(A72,'Список ориентирование '!J:J,0)),"")</f>
        <v/>
      </c>
      <c r="D72" s="25"/>
      <c r="E72" s="25"/>
      <c r="F72" s="25"/>
      <c r="G72" s="25" t="str">
        <f t="shared" si="4"/>
        <v/>
      </c>
      <c r="H72" s="36"/>
      <c r="I72" s="6" t="str">
        <f t="shared" si="5"/>
        <v/>
      </c>
    </row>
    <row r="73" spans="1:9" x14ac:dyDescent="0.3">
      <c r="A73" s="7">
        <v>71</v>
      </c>
      <c r="B73" s="7" t="str">
        <f>IFERROR(INDEX('Список ориентирование '!G:G,MATCH(A73,'Список ориентирование '!J:J,0)),"")</f>
        <v/>
      </c>
      <c r="C73" s="49" t="str">
        <f>IFERROR(INDEX('Список ориентирование '!H:H,MATCH(A73,'Список ориентирование '!J:J,0)),"")</f>
        <v/>
      </c>
      <c r="D73" s="25"/>
      <c r="E73" s="25"/>
      <c r="F73" s="25"/>
      <c r="G73" s="25" t="str">
        <f t="shared" si="4"/>
        <v/>
      </c>
      <c r="H73" s="36"/>
      <c r="I73" s="6" t="str">
        <f t="shared" si="5"/>
        <v/>
      </c>
    </row>
    <row r="74" spans="1:9" x14ac:dyDescent="0.3">
      <c r="A74" s="7">
        <v>72</v>
      </c>
      <c r="B74" s="7" t="str">
        <f>IFERROR(INDEX('Список ориентирование '!G:G,MATCH(A74,'Список ориентирование '!J:J,0)),"")</f>
        <v/>
      </c>
      <c r="C74" s="49" t="str">
        <f>IFERROR(INDEX('Список ориентирование '!H:H,MATCH(A74,'Список ориентирование '!J:J,0)),"")</f>
        <v/>
      </c>
      <c r="D74" s="25"/>
      <c r="E74" s="25"/>
      <c r="F74" s="25"/>
      <c r="G74" s="25" t="str">
        <f t="shared" si="4"/>
        <v/>
      </c>
      <c r="H74" s="36"/>
      <c r="I74" s="6" t="str">
        <f t="shared" si="5"/>
        <v/>
      </c>
    </row>
    <row r="75" spans="1:9" x14ac:dyDescent="0.3">
      <c r="A75" s="7">
        <v>73</v>
      </c>
      <c r="B75" s="7" t="str">
        <f>IFERROR(INDEX('Список ориентирование '!G:G,MATCH(A75,'Список ориентирование '!J:J,0)),"")</f>
        <v/>
      </c>
      <c r="C75" s="49" t="str">
        <f>IFERROR(INDEX('Список ориентирование '!H:H,MATCH(A75,'Список ориентирование '!J:J,0)),"")</f>
        <v/>
      </c>
      <c r="D75" s="25"/>
      <c r="E75" s="25"/>
      <c r="F75" s="25"/>
      <c r="G75" s="25" t="str">
        <f t="shared" si="4"/>
        <v/>
      </c>
      <c r="H75" s="36"/>
      <c r="I75" s="6" t="str">
        <f t="shared" si="5"/>
        <v/>
      </c>
    </row>
    <row r="76" spans="1:9" x14ac:dyDescent="0.3">
      <c r="A76" s="7">
        <v>74</v>
      </c>
      <c r="B76" s="7" t="str">
        <f>IFERROR(INDEX('Список ориентирование '!G:G,MATCH(A76,'Список ориентирование '!J:J,0)),"")</f>
        <v/>
      </c>
      <c r="C76" s="49" t="str">
        <f>IFERROR(INDEX('Список ориентирование '!H:H,MATCH(A76,'Список ориентирование '!J:J,0)),"")</f>
        <v/>
      </c>
      <c r="D76" s="25"/>
      <c r="E76" s="25"/>
      <c r="F76" s="25"/>
      <c r="G76" s="25" t="str">
        <f t="shared" si="4"/>
        <v/>
      </c>
      <c r="H76" s="36"/>
      <c r="I76" s="6" t="str">
        <f t="shared" si="5"/>
        <v/>
      </c>
    </row>
    <row r="77" spans="1:9" x14ac:dyDescent="0.3">
      <c r="A77" s="7">
        <v>75</v>
      </c>
      <c r="B77" s="7" t="str">
        <f>IFERROR(INDEX('Список ориентирование '!G:G,MATCH(A77,'Список ориентирование '!J:J,0)),"")</f>
        <v/>
      </c>
      <c r="C77" s="49" t="str">
        <f>IFERROR(INDEX('Список ориентирование '!H:H,MATCH(A77,'Список ориентирование '!J:J,0)),"")</f>
        <v/>
      </c>
      <c r="D77" s="25"/>
      <c r="E77" s="25"/>
      <c r="F77" s="25"/>
      <c r="G77" s="25" t="str">
        <f t="shared" si="4"/>
        <v/>
      </c>
      <c r="H77" s="36"/>
      <c r="I77" s="6" t="str">
        <f t="shared" si="5"/>
        <v/>
      </c>
    </row>
    <row r="78" spans="1:9" x14ac:dyDescent="0.3">
      <c r="A78" s="7">
        <v>76</v>
      </c>
      <c r="B78" s="7" t="str">
        <f>IFERROR(INDEX('Список ориентирование '!G:G,MATCH(A78,'Список ориентирование '!J:J,0)),"")</f>
        <v/>
      </c>
      <c r="C78" s="49" t="str">
        <f>IFERROR(INDEX('Список ориентирование '!H:H,MATCH(A78,'Список ориентирование '!J:J,0)),"")</f>
        <v/>
      </c>
      <c r="D78" s="25"/>
      <c r="E78" s="25"/>
      <c r="F78" s="25"/>
      <c r="G78" s="25" t="str">
        <f t="shared" si="4"/>
        <v/>
      </c>
      <c r="H78" s="36"/>
      <c r="I78" s="6" t="str">
        <f t="shared" si="5"/>
        <v/>
      </c>
    </row>
    <row r="79" spans="1:9" x14ac:dyDescent="0.3">
      <c r="A79" s="7">
        <v>77</v>
      </c>
      <c r="B79" s="7" t="str">
        <f>IFERROR(INDEX('Список ориентирование '!G:G,MATCH(A79,'Список ориентирование '!J:J,0)),"")</f>
        <v/>
      </c>
      <c r="C79" s="49" t="str">
        <f>IFERROR(INDEX('Список ориентирование '!H:H,MATCH(A79,'Список ориентирование '!J:J,0)),"")</f>
        <v/>
      </c>
      <c r="D79" s="25"/>
      <c r="E79" s="25"/>
      <c r="F79" s="25"/>
      <c r="G79" s="25" t="str">
        <f t="shared" si="4"/>
        <v/>
      </c>
      <c r="H79" s="36"/>
      <c r="I79" s="6" t="str">
        <f t="shared" si="5"/>
        <v/>
      </c>
    </row>
    <row r="80" spans="1:9" x14ac:dyDescent="0.3">
      <c r="A80" s="7">
        <v>78</v>
      </c>
      <c r="B80" s="7" t="str">
        <f>IFERROR(INDEX('Список ориентирование '!G:G,MATCH(A80,'Список ориентирование '!J:J,0)),"")</f>
        <v/>
      </c>
      <c r="C80" s="49" t="str">
        <f>IFERROR(INDEX('Список ориентирование '!H:H,MATCH(A80,'Список ориентирование '!J:J,0)),"")</f>
        <v/>
      </c>
      <c r="D80" s="25"/>
      <c r="E80" s="25"/>
      <c r="F80" s="25"/>
      <c r="G80" s="25" t="str">
        <f t="shared" si="4"/>
        <v/>
      </c>
      <c r="H80" s="36"/>
      <c r="I80" s="6" t="str">
        <f t="shared" si="5"/>
        <v/>
      </c>
    </row>
    <row r="81" spans="1:9" x14ac:dyDescent="0.3">
      <c r="A81" s="7">
        <v>79</v>
      </c>
      <c r="B81" s="7" t="str">
        <f>IFERROR(INDEX('Список ориентирование '!G:G,MATCH(A81,'Список ориентирование '!J:J,0)),"")</f>
        <v/>
      </c>
      <c r="C81" s="49" t="str">
        <f>IFERROR(INDEX('Список ориентирование '!H:H,MATCH(A81,'Список ориентирование '!J:J,0)),"")</f>
        <v/>
      </c>
      <c r="D81" s="25"/>
      <c r="E81" s="25"/>
      <c r="F81" s="25"/>
      <c r="G81" s="25" t="str">
        <f t="shared" si="4"/>
        <v/>
      </c>
      <c r="H81" s="36"/>
      <c r="I81" s="6" t="str">
        <f t="shared" si="5"/>
        <v/>
      </c>
    </row>
    <row r="82" spans="1:9" x14ac:dyDescent="0.3">
      <c r="A82" s="7">
        <v>80</v>
      </c>
      <c r="B82" s="7" t="str">
        <f>IFERROR(INDEX('Список ориентирование '!G:G,MATCH(A82,'Список ориентирование '!J:J,0)),"")</f>
        <v/>
      </c>
      <c r="C82" s="49" t="str">
        <f>IFERROR(INDEX('Список ориентирование '!H:H,MATCH(A82,'Список ориентирование '!J:J,0)),"")</f>
        <v/>
      </c>
      <c r="D82" s="25"/>
      <c r="E82" s="25"/>
      <c r="F82" s="25"/>
      <c r="G82" s="25" t="str">
        <f t="shared" si="4"/>
        <v/>
      </c>
      <c r="H82" s="36"/>
      <c r="I82" s="6" t="str">
        <f t="shared" si="5"/>
        <v/>
      </c>
    </row>
    <row r="83" spans="1:9" x14ac:dyDescent="0.3">
      <c r="A83" s="7">
        <v>81</v>
      </c>
      <c r="B83" s="7" t="str">
        <f>IFERROR(INDEX('Список ориентирование '!G:G,MATCH(A83,'Список ориентирование '!J:J,0)),"")</f>
        <v/>
      </c>
      <c r="C83" s="49" t="str">
        <f>IFERROR(INDEX('Список ориентирование '!H:H,MATCH(A83,'Список ориентирование '!J:J,0)),"")</f>
        <v/>
      </c>
      <c r="D83" s="25"/>
      <c r="E83" s="25"/>
      <c r="F83" s="25"/>
      <c r="G83" s="25" t="str">
        <f t="shared" si="4"/>
        <v/>
      </c>
      <c r="H83" s="36"/>
      <c r="I83" s="6" t="str">
        <f t="shared" si="5"/>
        <v/>
      </c>
    </row>
    <row r="84" spans="1:9" x14ac:dyDescent="0.3">
      <c r="A84" s="7">
        <v>82</v>
      </c>
      <c r="B84" s="7" t="str">
        <f>IFERROR(INDEX('Список ориентирование '!G:G,MATCH(A84,'Список ориентирование '!J:J,0)),"")</f>
        <v/>
      </c>
      <c r="C84" s="49" t="str">
        <f>IFERROR(INDEX('Список ориентирование '!H:H,MATCH(A84,'Список ориентирование '!J:J,0)),"")</f>
        <v/>
      </c>
      <c r="D84" s="25"/>
      <c r="E84" s="25"/>
      <c r="F84" s="25"/>
      <c r="G84" s="25" t="str">
        <f t="shared" si="4"/>
        <v/>
      </c>
      <c r="H84" s="36"/>
      <c r="I84" s="6" t="str">
        <f t="shared" si="5"/>
        <v/>
      </c>
    </row>
    <row r="85" spans="1:9" x14ac:dyDescent="0.3">
      <c r="A85" s="7">
        <v>83</v>
      </c>
      <c r="B85" s="7" t="str">
        <f>IFERROR(INDEX('Список ориентирование '!G:G,MATCH(A85,'Список ориентирование '!J:J,0)),"")</f>
        <v/>
      </c>
      <c r="C85" s="49" t="str">
        <f>IFERROR(INDEX('Список ориентирование '!H:H,MATCH(A85,'Список ориентирование '!J:J,0)),"")</f>
        <v/>
      </c>
      <c r="D85" s="25"/>
      <c r="E85" s="25"/>
      <c r="F85" s="25"/>
      <c r="G85" s="25" t="str">
        <f t="shared" si="4"/>
        <v/>
      </c>
      <c r="H85" s="36"/>
      <c r="I85" s="6" t="str">
        <f t="shared" si="5"/>
        <v/>
      </c>
    </row>
    <row r="86" spans="1:9" x14ac:dyDescent="0.3">
      <c r="A86" s="7">
        <v>84</v>
      </c>
      <c r="B86" s="7" t="str">
        <f>IFERROR(INDEX('Список ориентирование '!G:G,MATCH(A86,'Список ориентирование '!J:J,0)),"")</f>
        <v/>
      </c>
      <c r="C86" s="49" t="str">
        <f>IFERROR(INDEX('Список ориентирование '!H:H,MATCH(A86,'Список ориентирование '!J:J,0)),"")</f>
        <v/>
      </c>
      <c r="D86" s="25"/>
      <c r="E86" s="25"/>
      <c r="F86" s="25"/>
      <c r="G86" s="25" t="str">
        <f t="shared" si="4"/>
        <v/>
      </c>
      <c r="H86" s="36"/>
      <c r="I86" s="6" t="str">
        <f t="shared" si="5"/>
        <v/>
      </c>
    </row>
    <row r="87" spans="1:9" x14ac:dyDescent="0.3">
      <c r="A87" s="7">
        <v>85</v>
      </c>
      <c r="B87" s="7" t="str">
        <f>IFERROR(INDEX('Список ориентирование '!G:G,MATCH(A87,'Список ориентирование '!J:J,0)),"")</f>
        <v/>
      </c>
      <c r="C87" s="49" t="str">
        <f>IFERROR(INDEX('Список ориентирование '!H:H,MATCH(A87,'Список ориентирование '!J:J,0)),"")</f>
        <v/>
      </c>
      <c r="D87" s="25"/>
      <c r="E87" s="25"/>
      <c r="F87" s="25"/>
      <c r="G87" s="25" t="str">
        <f t="shared" si="4"/>
        <v/>
      </c>
      <c r="H87" s="36"/>
      <c r="I87" s="6" t="str">
        <f t="shared" si="5"/>
        <v/>
      </c>
    </row>
    <row r="88" spans="1:9" x14ac:dyDescent="0.3">
      <c r="A88" s="7">
        <v>86</v>
      </c>
      <c r="B88" s="7" t="str">
        <f>IFERROR(INDEX('Список ориентирование '!G:G,MATCH(A88,'Список ориентирование '!J:J,0)),"")</f>
        <v/>
      </c>
      <c r="C88" s="49" t="str">
        <f>IFERROR(INDEX('Список ориентирование '!H:H,MATCH(A88,'Список ориентирование '!J:J,0)),"")</f>
        <v/>
      </c>
      <c r="D88" s="25"/>
      <c r="E88" s="25"/>
      <c r="F88" s="25"/>
      <c r="G88" s="25" t="str">
        <f t="shared" si="4"/>
        <v/>
      </c>
      <c r="H88" s="36"/>
      <c r="I88" s="6" t="str">
        <f t="shared" si="5"/>
        <v/>
      </c>
    </row>
    <row r="89" spans="1:9" x14ac:dyDescent="0.3">
      <c r="A89" s="7">
        <v>87</v>
      </c>
      <c r="B89" s="7" t="str">
        <f>IFERROR(INDEX('Список ориентирование '!G:G,MATCH(A89,'Список ориентирование '!J:J,0)),"")</f>
        <v/>
      </c>
      <c r="C89" s="49" t="str">
        <f>IFERROR(INDEX('Список ориентирование '!H:H,MATCH(A89,'Список ориентирование '!J:J,0)),"")</f>
        <v/>
      </c>
      <c r="D89" s="25"/>
      <c r="E89" s="25"/>
      <c r="F89" s="25"/>
      <c r="G89" s="25" t="str">
        <f t="shared" si="4"/>
        <v/>
      </c>
      <c r="H89" s="36"/>
      <c r="I89" s="6" t="str">
        <f t="shared" si="5"/>
        <v/>
      </c>
    </row>
    <row r="90" spans="1:9" x14ac:dyDescent="0.3">
      <c r="A90" s="7">
        <v>88</v>
      </c>
      <c r="B90" s="7" t="str">
        <f>IFERROR(INDEX('Список ориентирование '!G:G,MATCH(A90,'Список ориентирование '!J:J,0)),"")</f>
        <v/>
      </c>
      <c r="C90" s="49" t="str">
        <f>IFERROR(INDEX('Список ориентирование '!H:H,MATCH(A90,'Список ориентирование '!J:J,0)),"")</f>
        <v/>
      </c>
      <c r="D90" s="25"/>
      <c r="E90" s="25"/>
      <c r="F90" s="25"/>
      <c r="G90" s="25" t="str">
        <f t="shared" si="4"/>
        <v/>
      </c>
      <c r="H90" s="36"/>
      <c r="I90" s="6" t="str">
        <f t="shared" si="5"/>
        <v/>
      </c>
    </row>
    <row r="91" spans="1:9" x14ac:dyDescent="0.3">
      <c r="A91" s="7">
        <v>89</v>
      </c>
      <c r="B91" s="7" t="str">
        <f>IFERROR(INDEX('Список ориентирование '!G:G,MATCH(A91,'Список ориентирование '!J:J,0)),"")</f>
        <v/>
      </c>
      <c r="C91" s="49" t="str">
        <f>IFERROR(INDEX('Список ориентирование '!H:H,MATCH(A91,'Список ориентирование '!J:J,0)),"")</f>
        <v/>
      </c>
      <c r="D91" s="25"/>
      <c r="E91" s="25"/>
      <c r="F91" s="25"/>
      <c r="G91" s="25" t="str">
        <f t="shared" si="4"/>
        <v/>
      </c>
      <c r="H91" s="36"/>
      <c r="I91" s="6" t="str">
        <f t="shared" si="5"/>
        <v/>
      </c>
    </row>
    <row r="92" spans="1:9" x14ac:dyDescent="0.3">
      <c r="A92" s="7">
        <v>90</v>
      </c>
      <c r="B92" s="7" t="str">
        <f>IFERROR(INDEX('Список ориентирование '!G:G,MATCH(A92,'Список ориентирование '!J:J,0)),"")</f>
        <v/>
      </c>
      <c r="C92" s="49" t="str">
        <f>IFERROR(INDEX('Список ориентирование '!H:H,MATCH(A92,'Список ориентирование '!J:J,0)),"")</f>
        <v/>
      </c>
      <c r="D92" s="25"/>
      <c r="E92" s="25"/>
      <c r="F92" s="25"/>
      <c r="G92" s="25" t="str">
        <f t="shared" si="4"/>
        <v/>
      </c>
      <c r="H92" s="36"/>
      <c r="I92" s="6" t="str">
        <f t="shared" si="5"/>
        <v/>
      </c>
    </row>
    <row r="93" spans="1:9" x14ac:dyDescent="0.3">
      <c r="A93" s="7">
        <v>91</v>
      </c>
      <c r="B93" s="7" t="str">
        <f>IFERROR(INDEX('Список ориентирование '!G:G,MATCH(A93,'Список ориентирование '!J:J,0)),"")</f>
        <v/>
      </c>
      <c r="C93" s="49" t="str">
        <f>IFERROR(INDEX('Список ориентирование '!H:H,MATCH(A93,'Список ориентирование '!J:J,0)),"")</f>
        <v/>
      </c>
      <c r="D93" s="25"/>
      <c r="E93" s="25"/>
      <c r="F93" s="25"/>
      <c r="G93" s="25" t="str">
        <f t="shared" si="4"/>
        <v/>
      </c>
      <c r="H93" s="36"/>
      <c r="I93" s="6" t="str">
        <f t="shared" si="5"/>
        <v/>
      </c>
    </row>
    <row r="94" spans="1:9" x14ac:dyDescent="0.3">
      <c r="A94" s="7">
        <v>92</v>
      </c>
      <c r="B94" s="7" t="str">
        <f>IFERROR(INDEX('Список ориентирование '!G:G,MATCH(A94,'Список ориентирование '!J:J,0)),"")</f>
        <v/>
      </c>
      <c r="C94" s="49" t="str">
        <f>IFERROR(INDEX('Список ориентирование '!H:H,MATCH(A94,'Список ориентирование '!J:J,0)),"")</f>
        <v/>
      </c>
      <c r="D94" s="25"/>
      <c r="E94" s="25"/>
      <c r="F94" s="25"/>
      <c r="G94" s="25" t="str">
        <f t="shared" si="4"/>
        <v/>
      </c>
      <c r="H94" s="36"/>
      <c r="I94" s="6" t="str">
        <f t="shared" si="5"/>
        <v/>
      </c>
    </row>
    <row r="95" spans="1:9" x14ac:dyDescent="0.3">
      <c r="A95" s="7">
        <v>93</v>
      </c>
      <c r="B95" s="7" t="str">
        <f>IFERROR(INDEX('Список ориентирование '!G:G,MATCH(A95,'Список ориентирование '!J:J,0)),"")</f>
        <v/>
      </c>
      <c r="C95" s="49" t="str">
        <f>IFERROR(INDEX('Список ориентирование '!H:H,MATCH(A95,'Список ориентирование '!J:J,0)),"")</f>
        <v/>
      </c>
      <c r="D95" s="25"/>
      <c r="E95" s="25"/>
      <c r="F95" s="25"/>
      <c r="G95" s="25" t="str">
        <f t="shared" si="4"/>
        <v/>
      </c>
      <c r="H95" s="36"/>
      <c r="I95" s="6" t="str">
        <f t="shared" si="5"/>
        <v/>
      </c>
    </row>
    <row r="96" spans="1:9" x14ac:dyDescent="0.3">
      <c r="A96" s="7">
        <v>94</v>
      </c>
      <c r="B96" s="7" t="str">
        <f>IFERROR(INDEX('Список ориентирование '!G:G,MATCH(A96,'Список ориентирование '!J:J,0)),"")</f>
        <v/>
      </c>
      <c r="C96" s="49" t="str">
        <f>IFERROR(INDEX('Список ориентирование '!H:H,MATCH(A96,'Список ориентирование '!J:J,0)),"")</f>
        <v/>
      </c>
      <c r="D96" s="25"/>
      <c r="E96" s="25"/>
      <c r="F96" s="25"/>
      <c r="G96" s="25" t="str">
        <f t="shared" si="4"/>
        <v/>
      </c>
      <c r="H96" s="36"/>
      <c r="I96" s="6" t="str">
        <f t="shared" si="5"/>
        <v/>
      </c>
    </row>
    <row r="97" spans="1:9" x14ac:dyDescent="0.3">
      <c r="A97" s="7">
        <v>95</v>
      </c>
      <c r="B97" s="7" t="str">
        <f>IFERROR(INDEX('Список ориентирование '!G:G,MATCH(A97,'Список ориентирование '!J:J,0)),"")</f>
        <v/>
      </c>
      <c r="C97" s="49" t="str">
        <f>IFERROR(INDEX('Список ориентирование '!H:H,MATCH(A97,'Список ориентирование '!J:J,0)),"")</f>
        <v/>
      </c>
      <c r="D97" s="25"/>
      <c r="E97" s="25"/>
      <c r="F97" s="25"/>
      <c r="G97" s="25" t="str">
        <f t="shared" si="4"/>
        <v/>
      </c>
      <c r="H97" s="36"/>
      <c r="I97" s="6" t="str">
        <f t="shared" si="5"/>
        <v/>
      </c>
    </row>
    <row r="98" spans="1:9" x14ac:dyDescent="0.3">
      <c r="A98" s="7">
        <v>96</v>
      </c>
      <c r="B98" s="7" t="str">
        <f>IFERROR(INDEX('Список ориентирование '!G:G,MATCH(A98,'Список ориентирование '!J:J,0)),"")</f>
        <v/>
      </c>
      <c r="C98" s="49" t="str">
        <f>IFERROR(INDEX('Список ориентирование '!H:H,MATCH(A98,'Список ориентирование '!J:J,0)),"")</f>
        <v/>
      </c>
      <c r="D98" s="25"/>
      <c r="E98" s="25"/>
      <c r="F98" s="25"/>
      <c r="G98" s="25" t="str">
        <f t="shared" si="4"/>
        <v/>
      </c>
      <c r="H98" s="36"/>
      <c r="I98" s="6" t="str">
        <f t="shared" si="5"/>
        <v/>
      </c>
    </row>
    <row r="99" spans="1:9" x14ac:dyDescent="0.3">
      <c r="A99" s="7">
        <v>97</v>
      </c>
      <c r="B99" s="7" t="str">
        <f>IFERROR(INDEX('Список ориентирование '!G:G,MATCH(A99,'Список ориентирование '!J:J,0)),"")</f>
        <v/>
      </c>
      <c r="C99" s="49" t="str">
        <f>IFERROR(INDEX('Список ориентирование '!H:H,MATCH(A99,'Список ориентирование '!J:J,0)),"")</f>
        <v/>
      </c>
      <c r="D99" s="25"/>
      <c r="E99" s="25"/>
      <c r="F99" s="25"/>
      <c r="G99" s="25" t="str">
        <f t="shared" si="4"/>
        <v/>
      </c>
      <c r="H99" s="36"/>
      <c r="I99" s="6" t="str">
        <f t="shared" si="5"/>
        <v/>
      </c>
    </row>
    <row r="100" spans="1:9" x14ac:dyDescent="0.3">
      <c r="A100" s="7">
        <v>98</v>
      </c>
      <c r="B100" s="7" t="str">
        <f>IFERROR(INDEX('Список ориентирование '!G:G,MATCH(A100,'Список ориентирование '!J:J,0)),"")</f>
        <v/>
      </c>
      <c r="C100" s="49" t="str">
        <f>IFERROR(INDEX('Список ориентирование '!H:H,MATCH(A100,'Список ориентирование '!J:J,0)),"")</f>
        <v/>
      </c>
      <c r="D100" s="25"/>
      <c r="E100" s="25"/>
      <c r="F100" s="25"/>
      <c r="G100" s="25" t="str">
        <f t="shared" si="4"/>
        <v/>
      </c>
      <c r="H100" s="36"/>
      <c r="I100" s="6" t="str">
        <f t="shared" si="5"/>
        <v/>
      </c>
    </row>
    <row r="101" spans="1:9" x14ac:dyDescent="0.3">
      <c r="A101" s="7">
        <v>99</v>
      </c>
      <c r="B101" s="7" t="str">
        <f>IFERROR(INDEX('Список ориентирование '!G:G,MATCH(A101,'Список ориентирование '!J:J,0)),"")</f>
        <v/>
      </c>
      <c r="C101" s="49" t="str">
        <f>IFERROR(INDEX('Список ориентирование '!H:H,MATCH(A101,'Список ориентирование '!J:J,0)),"")</f>
        <v/>
      </c>
      <c r="D101" s="25"/>
      <c r="E101" s="25"/>
      <c r="F101" s="25"/>
      <c r="G101" s="25" t="str">
        <f t="shared" si="4"/>
        <v/>
      </c>
      <c r="H101" s="36"/>
      <c r="I101" s="6" t="str">
        <f t="shared" si="5"/>
        <v/>
      </c>
    </row>
  </sheetData>
  <mergeCells count="1">
    <mergeCell ref="C1:E1"/>
  </mergeCells>
  <conditionalFormatting sqref="A3:I200">
    <cfRule type="expression" dxfId="10" priority="1">
      <formula>AND($H3&gt;=1)</formula>
    </cfRule>
    <cfRule type="expression" dxfId="15" priority="2">
      <formula>AND($I3=$M$7)</formula>
    </cfRule>
    <cfRule type="expression" dxfId="14" priority="3">
      <formula>AND($I3=$M$6)</formula>
    </cfRule>
    <cfRule type="expression" dxfId="13" priority="4">
      <formula>AND($I3=$M$5)</formula>
    </cfRule>
    <cfRule type="expression" dxfId="12" priority="5">
      <formula>AND($I3=$M$4)</formula>
    </cfRule>
    <cfRule type="expression" dxfId="11" priority="6">
      <formula>AND($I3=$M$3)</formula>
    </cfRule>
  </conditionalFormatting>
  <pageMargins left="0.7" right="0.7" top="0.75" bottom="0.75" header="0.3" footer="0.3"/>
  <pageSetup paperSize="256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1" sqref="L11"/>
    </sheetView>
  </sheetViews>
  <sheetFormatPr defaultRowHeight="18.75" x14ac:dyDescent="0.3"/>
  <cols>
    <col min="1" max="1" width="5.42578125" style="10" customWidth="1"/>
    <col min="2" max="2" width="15.5703125" style="10" customWidth="1"/>
    <col min="3" max="3" width="45.42578125" style="10" bestFit="1" customWidth="1"/>
    <col min="4" max="4" width="9.140625" style="38"/>
    <col min="5" max="7" width="12.7109375" style="38" customWidth="1"/>
    <col min="8" max="8" width="14.28515625" style="39" customWidth="1"/>
    <col min="9" max="9" width="20.85546875" style="38" customWidth="1"/>
    <col min="10" max="10" width="10.140625" style="35" customWidth="1"/>
    <col min="11" max="11" width="14.5703125" style="10" customWidth="1"/>
    <col min="12" max="12" width="42.140625" style="10" bestFit="1" customWidth="1"/>
    <col min="13" max="13" width="15.140625" style="11" customWidth="1"/>
    <col min="14" max="14" width="9.140625" style="11"/>
    <col min="15" max="15" width="9.140625" style="10"/>
    <col min="16" max="16" width="27.7109375" style="10" customWidth="1"/>
    <col min="17" max="16384" width="9.140625" style="10"/>
  </cols>
  <sheetData>
    <row r="1" spans="1:16" ht="41.25" customHeight="1" thickBot="1" x14ac:dyDescent="0.35">
      <c r="B1" s="23"/>
      <c r="C1" s="156" t="s">
        <v>216</v>
      </c>
      <c r="D1" s="156"/>
      <c r="E1" s="156"/>
      <c r="F1" s="48"/>
      <c r="G1" s="48"/>
      <c r="H1" s="48"/>
      <c r="I1" s="48"/>
      <c r="J1" s="24"/>
    </row>
    <row r="2" spans="1:16" ht="49.5" customHeight="1" thickBot="1" x14ac:dyDescent="0.35">
      <c r="A2" s="7"/>
      <c r="B2" s="8" t="s">
        <v>191</v>
      </c>
      <c r="C2" s="8" t="s">
        <v>192</v>
      </c>
      <c r="D2" s="25" t="s">
        <v>194</v>
      </c>
      <c r="E2" s="53" t="s">
        <v>219</v>
      </c>
      <c r="F2" s="53" t="s">
        <v>220</v>
      </c>
      <c r="G2" s="53" t="s">
        <v>221</v>
      </c>
      <c r="H2" s="26" t="s">
        <v>207</v>
      </c>
      <c r="I2" s="22" t="s">
        <v>208</v>
      </c>
      <c r="J2" s="27"/>
      <c r="K2" s="5" t="s">
        <v>191</v>
      </c>
      <c r="L2" s="5" t="s">
        <v>192</v>
      </c>
      <c r="M2" s="28" t="s">
        <v>209</v>
      </c>
      <c r="N2" s="28" t="s">
        <v>210</v>
      </c>
      <c r="P2" s="29" t="s">
        <v>217</v>
      </c>
    </row>
    <row r="3" spans="1:16" ht="19.5" thickBot="1" x14ac:dyDescent="0.35">
      <c r="A3" s="7">
        <v>1</v>
      </c>
      <c r="B3" s="128" t="s">
        <v>4</v>
      </c>
      <c r="C3" s="7" t="s">
        <v>10</v>
      </c>
      <c r="D3" s="50"/>
      <c r="E3" s="50">
        <v>6.9444444444444447E-4</v>
      </c>
      <c r="F3" s="50">
        <v>3.2303240740740737E-2</v>
      </c>
      <c r="G3" s="50">
        <f>IF(ISBLANK(F3),"",F3-E3)</f>
        <v>3.1608796296296295E-2</v>
      </c>
      <c r="H3" s="51">
        <v>1</v>
      </c>
      <c r="I3" s="52">
        <f>IF(ISBLANK(F3),"",G3+TIME(H3*2,H3,0))</f>
        <v>0.11563657407407407</v>
      </c>
      <c r="J3" s="30"/>
      <c r="K3" s="31" t="str">
        <f>INDEX(B:B,MATCH(M3,I:I,0))</f>
        <v>ц.35</v>
      </c>
      <c r="L3" s="31" t="str">
        <f>INDEX(C:C,MATCH(M3,I:I,0))</f>
        <v>Бабкин Илья Андреевич</v>
      </c>
      <c r="M3" s="40">
        <f>IFERROR(SMALL(I3:I200,1)," ")</f>
        <v>4.1134259259258982E-2</v>
      </c>
      <c r="N3" s="41" t="s">
        <v>211</v>
      </c>
    </row>
    <row r="4" spans="1:16" ht="19.5" thickBot="1" x14ac:dyDescent="0.35">
      <c r="A4" s="7">
        <v>2</v>
      </c>
      <c r="B4" s="7" t="s">
        <v>23</v>
      </c>
      <c r="C4" s="7" t="s">
        <v>24</v>
      </c>
      <c r="D4" s="25"/>
      <c r="E4" s="25">
        <v>1.3888888888888889E-3</v>
      </c>
      <c r="F4" s="25">
        <v>7.3969907407407401E-2</v>
      </c>
      <c r="G4" s="25">
        <f t="shared" ref="G4:G38" si="0">IF(ISBLANK(F4),"",F4-E4)</f>
        <v>7.2581018518518517E-2</v>
      </c>
      <c r="H4" s="36"/>
      <c r="I4" s="6">
        <f t="shared" ref="I4:I30" si="1">IF(ISBLANK(F4),"",G4+TIME(H4*2,H4,0))</f>
        <v>7.2581018518518517E-2</v>
      </c>
      <c r="J4" s="30"/>
      <c r="K4" s="32" t="str">
        <f t="shared" ref="K4:K7" si="2">INDEX(B:B,MATCH(M4,I:I,0))</f>
        <v>ОГМетр</v>
      </c>
      <c r="L4" s="32" t="str">
        <f t="shared" ref="L4:L7" si="3">INDEX(C:C,MATCH(M4,I:I,0))</f>
        <v>Маринкин Алексей Владимирович</v>
      </c>
      <c r="M4" s="42">
        <f>IFERROR(SMALL(I3:I200,2)," ")</f>
        <v>4.6435185185184386E-2</v>
      </c>
      <c r="N4" s="43" t="s">
        <v>212</v>
      </c>
    </row>
    <row r="5" spans="1:16" ht="19.5" thickBot="1" x14ac:dyDescent="0.35">
      <c r="A5" s="7">
        <v>3</v>
      </c>
      <c r="B5" s="7" t="s">
        <v>40</v>
      </c>
      <c r="C5" s="7" t="s">
        <v>46</v>
      </c>
      <c r="D5" s="25"/>
      <c r="E5" s="25">
        <v>2.0833333333333298E-3</v>
      </c>
      <c r="F5" s="25">
        <v>0.115636574074074</v>
      </c>
      <c r="G5" s="25">
        <f t="shared" si="0"/>
        <v>0.11355324074074068</v>
      </c>
      <c r="H5" s="36"/>
      <c r="I5" s="6">
        <f t="shared" si="1"/>
        <v>0.11355324074074068</v>
      </c>
      <c r="J5" s="30"/>
      <c r="K5" s="33" t="str">
        <f t="shared" si="2"/>
        <v>ц.35</v>
      </c>
      <c r="L5" s="33" t="str">
        <f t="shared" si="3"/>
        <v>Дубляженко Павел Евгеньевич</v>
      </c>
      <c r="M5" s="44">
        <f>IFERROR(SMALL(I3:I200,3)," ")</f>
        <v>4.7384259259259258E-2</v>
      </c>
      <c r="N5" s="45" t="s">
        <v>213</v>
      </c>
    </row>
    <row r="6" spans="1:16" ht="19.5" thickBot="1" x14ac:dyDescent="0.35">
      <c r="A6" s="7">
        <v>4</v>
      </c>
      <c r="B6" s="7" t="s">
        <v>59</v>
      </c>
      <c r="C6" s="7" t="s">
        <v>61</v>
      </c>
      <c r="D6" s="25"/>
      <c r="E6" s="25">
        <v>2.7777777777777701E-3</v>
      </c>
      <c r="F6" s="25">
        <v>0.15730324074074101</v>
      </c>
      <c r="G6" s="25">
        <f t="shared" si="0"/>
        <v>0.15452546296296324</v>
      </c>
      <c r="H6" s="36"/>
      <c r="I6" s="6">
        <f t="shared" si="1"/>
        <v>0.15452546296296324</v>
      </c>
      <c r="J6" s="30"/>
      <c r="K6" s="34" t="str">
        <f t="shared" si="2"/>
        <v>ц.38</v>
      </c>
      <c r="L6" s="34" t="str">
        <f t="shared" si="3"/>
        <v>Федосеев Сергей Николаевич</v>
      </c>
      <c r="M6" s="46">
        <f>IFERROR(SMALL(I3:I200,4)," ")</f>
        <v>4.9479166666666338E-2</v>
      </c>
      <c r="N6" s="47" t="s">
        <v>214</v>
      </c>
    </row>
    <row r="7" spans="1:16" ht="19.5" thickBot="1" x14ac:dyDescent="0.35">
      <c r="A7" s="7">
        <v>5</v>
      </c>
      <c r="B7" s="7" t="s">
        <v>74</v>
      </c>
      <c r="C7" s="7" t="s">
        <v>77</v>
      </c>
      <c r="D7" s="25"/>
      <c r="E7" s="25">
        <v>3.4722222222222199E-3</v>
      </c>
      <c r="F7" s="25">
        <v>6.3287037037037031E-2</v>
      </c>
      <c r="G7" s="25">
        <f t="shared" si="0"/>
        <v>5.9814814814814814E-2</v>
      </c>
      <c r="H7" s="36">
        <v>2</v>
      </c>
      <c r="I7" s="6">
        <f t="shared" si="1"/>
        <v>0.22787037037037036</v>
      </c>
      <c r="J7" s="30"/>
      <c r="K7" s="34" t="str">
        <f t="shared" si="2"/>
        <v>ЦНИОКР</v>
      </c>
      <c r="L7" s="34" t="str">
        <f t="shared" si="3"/>
        <v>Шабанов Дмитрий Николаевич</v>
      </c>
      <c r="M7" s="46">
        <f>IFERROR(SMALL(I3:I200,5)," ")</f>
        <v>5.052083333333264E-2</v>
      </c>
      <c r="N7" s="47" t="s">
        <v>215</v>
      </c>
    </row>
    <row r="8" spans="1:16" x14ac:dyDescent="0.3">
      <c r="A8" s="7">
        <v>6</v>
      </c>
      <c r="B8" s="7" t="s">
        <v>88</v>
      </c>
      <c r="C8" s="7" t="s">
        <v>93</v>
      </c>
      <c r="D8" s="25"/>
      <c r="E8" s="25">
        <v>4.1666666666666597E-3</v>
      </c>
      <c r="F8" s="25">
        <v>7.2418981481481473E-2</v>
      </c>
      <c r="G8" s="25">
        <f t="shared" si="0"/>
        <v>6.8252314814814807E-2</v>
      </c>
      <c r="H8" s="36"/>
      <c r="I8" s="6">
        <f t="shared" si="1"/>
        <v>6.8252314814814807E-2</v>
      </c>
      <c r="J8" s="30"/>
    </row>
    <row r="9" spans="1:16" x14ac:dyDescent="0.3">
      <c r="A9" s="7">
        <v>7</v>
      </c>
      <c r="B9" s="7" t="s">
        <v>103</v>
      </c>
      <c r="C9" s="7" t="s">
        <v>108</v>
      </c>
      <c r="D9" s="25"/>
      <c r="E9" s="25">
        <v>4.8611111111111103E-3</v>
      </c>
      <c r="F9" s="25">
        <v>7.4131944444444445E-2</v>
      </c>
      <c r="G9" s="25">
        <f t="shared" si="0"/>
        <v>6.9270833333333337E-2</v>
      </c>
      <c r="H9" s="36"/>
      <c r="I9" s="6">
        <f t="shared" si="1"/>
        <v>6.9270833333333337E-2</v>
      </c>
      <c r="J9" s="30"/>
    </row>
    <row r="10" spans="1:16" x14ac:dyDescent="0.3">
      <c r="A10" s="7">
        <v>8</v>
      </c>
      <c r="B10" s="7" t="s">
        <v>120</v>
      </c>
      <c r="C10" s="7" t="s">
        <v>125</v>
      </c>
      <c r="D10" s="25"/>
      <c r="E10" s="25">
        <v>5.5555555555555497E-3</v>
      </c>
      <c r="F10" s="25">
        <v>8.6238425925925913E-2</v>
      </c>
      <c r="G10" s="25">
        <f t="shared" si="0"/>
        <v>8.0682870370370363E-2</v>
      </c>
      <c r="H10" s="36"/>
      <c r="I10" s="6">
        <f t="shared" si="1"/>
        <v>8.0682870370370363E-2</v>
      </c>
      <c r="J10" s="30"/>
    </row>
    <row r="11" spans="1:16" x14ac:dyDescent="0.3">
      <c r="A11" s="7">
        <v>9</v>
      </c>
      <c r="B11" s="7" t="s">
        <v>136</v>
      </c>
      <c r="C11" s="7" t="s">
        <v>137</v>
      </c>
      <c r="D11" s="25"/>
      <c r="E11" s="25">
        <v>6.2500000000000003E-3</v>
      </c>
      <c r="F11" s="25">
        <v>7.1435185185185185E-2</v>
      </c>
      <c r="G11" s="25">
        <f t="shared" si="0"/>
        <v>6.5185185185185179E-2</v>
      </c>
      <c r="H11" s="36"/>
      <c r="I11" s="6">
        <f t="shared" si="1"/>
        <v>6.5185185185185179E-2</v>
      </c>
      <c r="J11" s="30"/>
    </row>
    <row r="12" spans="1:16" x14ac:dyDescent="0.3">
      <c r="A12" s="7">
        <v>10</v>
      </c>
      <c r="B12" s="7" t="s">
        <v>153</v>
      </c>
      <c r="C12" s="7" t="s">
        <v>156</v>
      </c>
      <c r="D12" s="25"/>
      <c r="E12" s="37">
        <v>6.9444444444444397E-3</v>
      </c>
      <c r="F12" s="37">
        <v>8.6365740740740729E-2</v>
      </c>
      <c r="G12" s="25">
        <f t="shared" si="0"/>
        <v>7.9421296296296295E-2</v>
      </c>
      <c r="H12" s="36"/>
      <c r="I12" s="6">
        <f t="shared" si="1"/>
        <v>7.9421296296296295E-2</v>
      </c>
      <c r="J12" s="30"/>
    </row>
    <row r="13" spans="1:16" x14ac:dyDescent="0.3">
      <c r="A13" s="7">
        <v>11</v>
      </c>
      <c r="B13" s="7" t="s">
        <v>172</v>
      </c>
      <c r="C13" s="7" t="s">
        <v>178</v>
      </c>
      <c r="D13" s="25"/>
      <c r="E13" s="37">
        <v>7.63888888888888E-3</v>
      </c>
      <c r="F13" s="37">
        <v>6.6956018518518512E-2</v>
      </c>
      <c r="G13" s="25">
        <f t="shared" si="0"/>
        <v>5.9317129629629629E-2</v>
      </c>
      <c r="H13" s="36"/>
      <c r="I13" s="6">
        <f t="shared" si="1"/>
        <v>5.9317129629629629E-2</v>
      </c>
      <c r="J13" s="30"/>
    </row>
    <row r="14" spans="1:16" x14ac:dyDescent="0.3">
      <c r="A14" s="7">
        <v>12</v>
      </c>
      <c r="B14" s="128" t="s">
        <v>4</v>
      </c>
      <c r="C14" s="7" t="s">
        <v>11</v>
      </c>
      <c r="D14" s="25"/>
      <c r="E14" s="37">
        <v>8.3333333333333297E-3</v>
      </c>
      <c r="F14" s="37">
        <v>0.15677083333333333</v>
      </c>
      <c r="G14" s="25">
        <f t="shared" si="0"/>
        <v>0.1484375</v>
      </c>
      <c r="H14" s="36"/>
      <c r="I14" s="6">
        <f t="shared" si="1"/>
        <v>0.1484375</v>
      </c>
      <c r="J14" s="30"/>
    </row>
    <row r="15" spans="1:16" x14ac:dyDescent="0.3">
      <c r="A15" s="7">
        <v>13</v>
      </c>
      <c r="B15" s="7" t="s">
        <v>23</v>
      </c>
      <c r="C15" s="7" t="s">
        <v>26</v>
      </c>
      <c r="D15" s="25"/>
      <c r="E15" s="37">
        <v>9.02777777777777E-3</v>
      </c>
      <c r="F15" s="37">
        <v>5.0138888888888893E-2</v>
      </c>
      <c r="G15" s="25">
        <f t="shared" si="0"/>
        <v>4.1111111111111126E-2</v>
      </c>
      <c r="H15" s="36">
        <v>2</v>
      </c>
      <c r="I15" s="6">
        <f t="shared" si="1"/>
        <v>0.20916666666666667</v>
      </c>
      <c r="J15" s="30"/>
    </row>
    <row r="16" spans="1:16" x14ac:dyDescent="0.3">
      <c r="A16" s="7">
        <v>14</v>
      </c>
      <c r="B16" s="7" t="s">
        <v>40</v>
      </c>
      <c r="C16" s="7" t="s">
        <v>47</v>
      </c>
      <c r="D16" s="25"/>
      <c r="E16" s="37">
        <v>9.7222222222222206E-3</v>
      </c>
      <c r="F16" s="37">
        <v>5.710648148148148E-2</v>
      </c>
      <c r="G16" s="25">
        <f t="shared" si="0"/>
        <v>4.7384259259259258E-2</v>
      </c>
      <c r="H16" s="36"/>
      <c r="I16" s="6">
        <f t="shared" si="1"/>
        <v>4.7384259259259258E-2</v>
      </c>
      <c r="J16" s="30"/>
    </row>
    <row r="17" spans="1:10" x14ac:dyDescent="0.3">
      <c r="A17" s="7">
        <v>15</v>
      </c>
      <c r="B17" s="7" t="s">
        <v>59</v>
      </c>
      <c r="C17" s="7" t="s">
        <v>63</v>
      </c>
      <c r="D17" s="25"/>
      <c r="E17" s="37">
        <v>1.0416666666666701E-2</v>
      </c>
      <c r="F17" s="37">
        <v>6.6145833333333334E-2</v>
      </c>
      <c r="G17" s="25">
        <f t="shared" si="0"/>
        <v>5.5729166666666635E-2</v>
      </c>
      <c r="H17" s="36"/>
      <c r="I17" s="6">
        <f t="shared" si="1"/>
        <v>5.5729166666666635E-2</v>
      </c>
      <c r="J17" s="30"/>
    </row>
    <row r="18" spans="1:10" x14ac:dyDescent="0.3">
      <c r="A18" s="7">
        <v>16</v>
      </c>
      <c r="B18" s="7" t="s">
        <v>74</v>
      </c>
      <c r="C18" s="7" t="s">
        <v>84</v>
      </c>
      <c r="D18" s="25"/>
      <c r="E18" s="37">
        <v>1.11111111111112E-2</v>
      </c>
      <c r="F18" s="25">
        <v>7.4131944444444445E-2</v>
      </c>
      <c r="G18" s="25">
        <f t="shared" si="0"/>
        <v>6.3020833333333248E-2</v>
      </c>
      <c r="H18" s="36"/>
      <c r="I18" s="6">
        <f t="shared" si="1"/>
        <v>6.3020833333333248E-2</v>
      </c>
      <c r="J18" s="30"/>
    </row>
    <row r="19" spans="1:10" x14ac:dyDescent="0.3">
      <c r="A19" s="7">
        <v>17</v>
      </c>
      <c r="B19" s="7" t="s">
        <v>88</v>
      </c>
      <c r="C19" s="7" t="s">
        <v>96</v>
      </c>
      <c r="D19" s="25"/>
      <c r="E19" s="37">
        <v>1.1805555555555699E-2</v>
      </c>
      <c r="F19" s="25">
        <v>8.6238425925925913E-2</v>
      </c>
      <c r="G19" s="25">
        <f t="shared" si="0"/>
        <v>7.4432870370370219E-2</v>
      </c>
      <c r="H19" s="36"/>
      <c r="I19" s="6">
        <f t="shared" si="1"/>
        <v>7.4432870370370219E-2</v>
      </c>
      <c r="J19" s="30"/>
    </row>
    <row r="20" spans="1:10" x14ac:dyDescent="0.3">
      <c r="A20" s="7">
        <v>18</v>
      </c>
      <c r="B20" s="7" t="s">
        <v>103</v>
      </c>
      <c r="C20" s="7" t="s">
        <v>109</v>
      </c>
      <c r="D20" s="25"/>
      <c r="E20" s="37">
        <v>1.25000000000001E-2</v>
      </c>
      <c r="F20" s="25">
        <v>7.1435185185185185E-2</v>
      </c>
      <c r="G20" s="25">
        <f t="shared" si="0"/>
        <v>5.8935185185185084E-2</v>
      </c>
      <c r="H20" s="36"/>
      <c r="I20" s="6">
        <f t="shared" si="1"/>
        <v>5.8935185185185084E-2</v>
      </c>
      <c r="J20" s="30"/>
    </row>
    <row r="21" spans="1:10" x14ac:dyDescent="0.3">
      <c r="A21" s="7">
        <v>19</v>
      </c>
      <c r="B21" s="7" t="s">
        <v>136</v>
      </c>
      <c r="C21" s="7" t="s">
        <v>138</v>
      </c>
      <c r="D21" s="25"/>
      <c r="E21" s="37">
        <v>1.3194444444444601E-2</v>
      </c>
      <c r="F21" s="37">
        <v>8.6365740740740729E-2</v>
      </c>
      <c r="G21" s="25">
        <f t="shared" si="0"/>
        <v>7.3171296296296123E-2</v>
      </c>
      <c r="H21" s="36"/>
      <c r="I21" s="6">
        <f t="shared" si="1"/>
        <v>7.3171296296296123E-2</v>
      </c>
      <c r="J21" s="30"/>
    </row>
    <row r="22" spans="1:10" x14ac:dyDescent="0.3">
      <c r="A22" s="7">
        <v>20</v>
      </c>
      <c r="B22" s="7" t="s">
        <v>172</v>
      </c>
      <c r="C22" s="7" t="s">
        <v>179</v>
      </c>
      <c r="D22" s="25"/>
      <c r="E22" s="37">
        <v>1.38888888888891E-2</v>
      </c>
      <c r="F22" s="37">
        <v>6.6956018518518512E-2</v>
      </c>
      <c r="G22" s="25">
        <f t="shared" si="0"/>
        <v>5.3067129629629409E-2</v>
      </c>
      <c r="H22" s="36"/>
      <c r="I22" s="6">
        <f t="shared" si="1"/>
        <v>5.3067129629629409E-2</v>
      </c>
      <c r="J22" s="30"/>
    </row>
    <row r="23" spans="1:10" x14ac:dyDescent="0.3">
      <c r="A23" s="7">
        <v>21</v>
      </c>
      <c r="B23" s="128" t="s">
        <v>4</v>
      </c>
      <c r="C23" s="7" t="s">
        <v>204</v>
      </c>
      <c r="D23" s="25"/>
      <c r="E23" s="37">
        <v>1.4583333333333601E-2</v>
      </c>
      <c r="F23" s="37">
        <v>0.15677083333333333</v>
      </c>
      <c r="G23" s="25">
        <f t="shared" si="0"/>
        <v>0.14218749999999974</v>
      </c>
      <c r="H23" s="36"/>
      <c r="I23" s="6">
        <f t="shared" si="1"/>
        <v>0.14218749999999974</v>
      </c>
      <c r="J23" s="30"/>
    </row>
    <row r="24" spans="1:10" x14ac:dyDescent="0.3">
      <c r="A24" s="7">
        <v>22</v>
      </c>
      <c r="B24" s="7" t="s">
        <v>23</v>
      </c>
      <c r="C24" s="7" t="s">
        <v>29</v>
      </c>
      <c r="D24" s="25"/>
      <c r="E24" s="37">
        <v>1.52777777777781E-2</v>
      </c>
      <c r="F24" s="37">
        <v>5.0138888888888893E-2</v>
      </c>
      <c r="G24" s="25">
        <f t="shared" si="0"/>
        <v>3.4861111111110794E-2</v>
      </c>
      <c r="H24" s="36">
        <v>1</v>
      </c>
      <c r="I24" s="6">
        <f t="shared" si="1"/>
        <v>0.11888888888888857</v>
      </c>
      <c r="J24" s="30"/>
    </row>
    <row r="25" spans="1:10" x14ac:dyDescent="0.3">
      <c r="A25" s="7">
        <v>23</v>
      </c>
      <c r="B25" s="7" t="s">
        <v>40</v>
      </c>
      <c r="C25" s="7" t="s">
        <v>48</v>
      </c>
      <c r="D25" s="25"/>
      <c r="E25" s="37">
        <v>1.5972222222222499E-2</v>
      </c>
      <c r="F25" s="37">
        <v>5.710648148148148E-2</v>
      </c>
      <c r="G25" s="25">
        <f t="shared" si="0"/>
        <v>4.1134259259258982E-2</v>
      </c>
      <c r="H25" s="36"/>
      <c r="I25" s="6">
        <f t="shared" si="1"/>
        <v>4.1134259259258982E-2</v>
      </c>
      <c r="J25" s="30"/>
    </row>
    <row r="26" spans="1:10" x14ac:dyDescent="0.3">
      <c r="A26" s="7">
        <v>24</v>
      </c>
      <c r="B26" s="7" t="s">
        <v>59</v>
      </c>
      <c r="C26" s="7" t="s">
        <v>64</v>
      </c>
      <c r="D26" s="25"/>
      <c r="E26" s="37">
        <v>1.6666666666667E-2</v>
      </c>
      <c r="F26" s="37">
        <v>6.6145833333333334E-2</v>
      </c>
      <c r="G26" s="25">
        <f t="shared" si="0"/>
        <v>4.9479166666666338E-2</v>
      </c>
      <c r="H26" s="36"/>
      <c r="I26" s="6">
        <f t="shared" si="1"/>
        <v>4.9479166666666338E-2</v>
      </c>
      <c r="J26" s="30"/>
    </row>
    <row r="27" spans="1:10" x14ac:dyDescent="0.3">
      <c r="A27" s="7">
        <v>25</v>
      </c>
      <c r="B27" s="7" t="s">
        <v>88</v>
      </c>
      <c r="C27" s="7" t="s">
        <v>97</v>
      </c>
      <c r="D27" s="25"/>
      <c r="E27" s="37">
        <v>1.73611111111115E-2</v>
      </c>
      <c r="F27" s="25">
        <v>7.4131944444444445E-2</v>
      </c>
      <c r="G27" s="25">
        <f t="shared" si="0"/>
        <v>5.6770833333332944E-2</v>
      </c>
      <c r="H27" s="36"/>
      <c r="I27" s="6">
        <f t="shared" si="1"/>
        <v>5.6770833333332944E-2</v>
      </c>
      <c r="J27" s="30"/>
    </row>
    <row r="28" spans="1:10" x14ac:dyDescent="0.3">
      <c r="A28" s="7">
        <v>26</v>
      </c>
      <c r="B28" s="7" t="s">
        <v>103</v>
      </c>
      <c r="C28" s="7" t="s">
        <v>110</v>
      </c>
      <c r="D28" s="25"/>
      <c r="E28" s="37">
        <v>1.8055555555556001E-2</v>
      </c>
      <c r="F28" s="25">
        <v>8.6238425925925913E-2</v>
      </c>
      <c r="G28" s="25">
        <f t="shared" si="0"/>
        <v>6.8182870370369908E-2</v>
      </c>
      <c r="H28" s="36"/>
      <c r="I28" s="6">
        <f t="shared" si="1"/>
        <v>6.8182870370369908E-2</v>
      </c>
      <c r="J28" s="30"/>
    </row>
    <row r="29" spans="1:10" x14ac:dyDescent="0.3">
      <c r="A29" s="7">
        <v>27</v>
      </c>
      <c r="B29" s="7" t="s">
        <v>136</v>
      </c>
      <c r="C29" s="7" t="s">
        <v>139</v>
      </c>
      <c r="D29" s="25"/>
      <c r="E29" s="37">
        <v>1.8750000000000499E-2</v>
      </c>
      <c r="F29" s="25">
        <v>9.8344907407407298E-2</v>
      </c>
      <c r="G29" s="25">
        <f t="shared" si="0"/>
        <v>7.9594907407406795E-2</v>
      </c>
      <c r="H29" s="36"/>
      <c r="I29" s="6">
        <f t="shared" si="1"/>
        <v>7.9594907407406795E-2</v>
      </c>
      <c r="J29" s="30"/>
    </row>
    <row r="30" spans="1:10" x14ac:dyDescent="0.3">
      <c r="A30" s="7">
        <v>28</v>
      </c>
      <c r="B30" s="7" t="s">
        <v>172</v>
      </c>
      <c r="C30" s="7" t="s">
        <v>181</v>
      </c>
      <c r="D30" s="25"/>
      <c r="E30" s="37">
        <v>1.9444444444444899E-2</v>
      </c>
      <c r="F30" s="25">
        <v>0.110451388888889</v>
      </c>
      <c r="G30" s="25">
        <f t="shared" si="0"/>
        <v>9.1006944444444099E-2</v>
      </c>
      <c r="H30" s="36"/>
      <c r="I30" s="6">
        <f t="shared" si="1"/>
        <v>9.1006944444444099E-2</v>
      </c>
      <c r="J30" s="30"/>
    </row>
    <row r="31" spans="1:10" x14ac:dyDescent="0.3">
      <c r="A31" s="7">
        <v>29</v>
      </c>
      <c r="B31" s="128" t="s">
        <v>4</v>
      </c>
      <c r="C31" s="7" t="s">
        <v>20</v>
      </c>
      <c r="D31" s="25"/>
      <c r="E31" s="37">
        <v>2.01388888888894E-2</v>
      </c>
      <c r="F31" s="25">
        <v>0.12255787037037</v>
      </c>
      <c r="G31" s="25">
        <f t="shared" si="0"/>
        <v>0.1024189814814806</v>
      </c>
      <c r="H31" s="36"/>
      <c r="I31" s="6">
        <f t="shared" ref="I31:I94" si="4">IF(ISBLANK(F31),"",G31+TIME(H31*2,H31,0))</f>
        <v>0.1024189814814806</v>
      </c>
      <c r="J31" s="30"/>
    </row>
    <row r="32" spans="1:10" x14ac:dyDescent="0.3">
      <c r="A32" s="7">
        <v>30</v>
      </c>
      <c r="B32" s="7" t="s">
        <v>23</v>
      </c>
      <c r="C32" s="7" t="s">
        <v>30</v>
      </c>
      <c r="D32" s="25"/>
      <c r="E32" s="37">
        <v>2.0833333333333901E-2</v>
      </c>
      <c r="F32" s="25">
        <v>0.13466435185185199</v>
      </c>
      <c r="G32" s="25">
        <f t="shared" si="0"/>
        <v>0.1138310185185181</v>
      </c>
      <c r="H32" s="36"/>
      <c r="I32" s="6">
        <f t="shared" si="4"/>
        <v>0.1138310185185181</v>
      </c>
      <c r="J32" s="30"/>
    </row>
    <row r="33" spans="1:10" x14ac:dyDescent="0.3">
      <c r="A33" s="7">
        <v>31</v>
      </c>
      <c r="B33" s="7" t="s">
        <v>88</v>
      </c>
      <c r="C33" s="7" t="s">
        <v>98</v>
      </c>
      <c r="D33" s="25"/>
      <c r="E33" s="37">
        <v>2.1527777777778399E-2</v>
      </c>
      <c r="F33" s="25">
        <v>0.14677083333333299</v>
      </c>
      <c r="G33" s="25">
        <f>IF(ISBLANK(F33),"",F33-E33)</f>
        <v>0.12524305555555459</v>
      </c>
      <c r="H33" s="36"/>
      <c r="I33" s="6">
        <f t="shared" si="4"/>
        <v>0.12524305555555459</v>
      </c>
      <c r="J33" s="30"/>
    </row>
    <row r="34" spans="1:10" x14ac:dyDescent="0.3">
      <c r="A34" s="7">
        <v>32</v>
      </c>
      <c r="B34" s="7" t="s">
        <v>103</v>
      </c>
      <c r="C34" s="7" t="s">
        <v>115</v>
      </c>
      <c r="D34" s="25"/>
      <c r="E34" s="37">
        <v>2.2222222222222799E-2</v>
      </c>
      <c r="F34" s="25">
        <v>0.15887731481481501</v>
      </c>
      <c r="G34" s="25">
        <f t="shared" si="0"/>
        <v>0.1366550925925922</v>
      </c>
      <c r="H34" s="36"/>
      <c r="I34" s="6">
        <f t="shared" si="4"/>
        <v>0.1366550925925922</v>
      </c>
      <c r="J34" s="30"/>
    </row>
    <row r="35" spans="1:10" x14ac:dyDescent="0.3">
      <c r="A35" s="7">
        <v>33</v>
      </c>
      <c r="B35" s="7" t="s">
        <v>243</v>
      </c>
      <c r="C35" s="7" t="s">
        <v>249</v>
      </c>
      <c r="D35" s="25"/>
      <c r="E35" s="37">
        <v>2.29166666666673E-2</v>
      </c>
      <c r="F35" s="25">
        <v>0.17098379629629601</v>
      </c>
      <c r="G35" s="25">
        <f t="shared" si="0"/>
        <v>0.1480671296296287</v>
      </c>
      <c r="H35" s="36"/>
      <c r="I35" s="6">
        <f t="shared" si="4"/>
        <v>0.1480671296296287</v>
      </c>
      <c r="J35" s="30"/>
    </row>
    <row r="36" spans="1:10" x14ac:dyDescent="0.3">
      <c r="A36" s="7">
        <v>34</v>
      </c>
      <c r="B36" s="7" t="s">
        <v>258</v>
      </c>
      <c r="C36" s="7" t="s">
        <v>259</v>
      </c>
      <c r="D36" s="25"/>
      <c r="E36" s="37">
        <v>2.3611111111111801E-2</v>
      </c>
      <c r="F36" s="25">
        <v>7.4131944444444445E-2</v>
      </c>
      <c r="G36" s="25">
        <f t="shared" si="0"/>
        <v>5.052083333333264E-2</v>
      </c>
      <c r="H36" s="36"/>
      <c r="I36" s="6">
        <f t="shared" si="4"/>
        <v>5.052083333333264E-2</v>
      </c>
    </row>
    <row r="37" spans="1:10" x14ac:dyDescent="0.3">
      <c r="A37" s="7">
        <v>35</v>
      </c>
      <c r="B37" s="7" t="s">
        <v>274</v>
      </c>
      <c r="C37" s="7" t="s">
        <v>278</v>
      </c>
      <c r="D37" s="25"/>
      <c r="E37" s="37">
        <v>2.4305555555556298E-2</v>
      </c>
      <c r="F37" s="25">
        <v>8.6238425925925913E-2</v>
      </c>
      <c r="G37" s="25">
        <f t="shared" si="0"/>
        <v>6.1932870370369611E-2</v>
      </c>
      <c r="H37" s="36"/>
      <c r="I37" s="6">
        <f t="shared" si="4"/>
        <v>6.1932870370369611E-2</v>
      </c>
    </row>
    <row r="38" spans="1:10" x14ac:dyDescent="0.3">
      <c r="A38" s="7">
        <v>36</v>
      </c>
      <c r="B38" s="7" t="s">
        <v>243</v>
      </c>
      <c r="C38" s="7" t="s">
        <v>251</v>
      </c>
      <c r="D38" s="25"/>
      <c r="E38" s="37">
        <v>2.5000000000000799E-2</v>
      </c>
      <c r="F38" s="25">
        <v>7.1435185185185185E-2</v>
      </c>
      <c r="G38" s="25">
        <f t="shared" si="0"/>
        <v>4.6435185185184386E-2</v>
      </c>
      <c r="H38" s="36"/>
      <c r="I38" s="6">
        <f t="shared" si="4"/>
        <v>4.6435185185184386E-2</v>
      </c>
    </row>
    <row r="39" spans="1:10" x14ac:dyDescent="0.3">
      <c r="A39" s="7">
        <v>37</v>
      </c>
      <c r="B39" s="7" t="s">
        <v>274</v>
      </c>
      <c r="C39" s="7" t="s">
        <v>277</v>
      </c>
      <c r="D39" s="25"/>
      <c r="E39" s="37">
        <v>2.56944444444452E-2</v>
      </c>
      <c r="F39" s="37">
        <v>8.6365740740740729E-2</v>
      </c>
      <c r="G39" s="25">
        <f t="shared" ref="G39:G94" si="5">IF(ISBLANK(F39),"",F39-E39)</f>
        <v>6.0671296296295529E-2</v>
      </c>
      <c r="H39" s="36"/>
      <c r="I39" s="6">
        <f t="shared" si="4"/>
        <v>6.0671296296295529E-2</v>
      </c>
    </row>
    <row r="40" spans="1:10" x14ac:dyDescent="0.3">
      <c r="A40" s="7">
        <v>38</v>
      </c>
      <c r="B40" s="7" t="s">
        <v>274</v>
      </c>
      <c r="C40" s="7" t="s">
        <v>279</v>
      </c>
      <c r="D40" s="25"/>
      <c r="E40" s="37">
        <v>2.6388888888889701E-2</v>
      </c>
      <c r="F40" s="37">
        <v>6.6956018518518512E-2</v>
      </c>
      <c r="G40" s="25">
        <f t="shared" si="5"/>
        <v>4.0567129629628815E-2</v>
      </c>
      <c r="H40" s="36">
        <v>1</v>
      </c>
      <c r="I40" s="6">
        <f t="shared" si="4"/>
        <v>0.12459490740740659</v>
      </c>
    </row>
    <row r="41" spans="1:10" x14ac:dyDescent="0.3">
      <c r="A41" s="7">
        <v>39</v>
      </c>
      <c r="B41" s="7"/>
      <c r="C41" s="7"/>
      <c r="D41" s="25"/>
      <c r="E41" s="25"/>
      <c r="F41" s="25"/>
      <c r="G41" s="25" t="str">
        <f t="shared" si="5"/>
        <v/>
      </c>
      <c r="H41" s="36"/>
      <c r="I41" s="6" t="str">
        <f t="shared" si="4"/>
        <v/>
      </c>
    </row>
    <row r="42" spans="1:10" x14ac:dyDescent="0.3">
      <c r="A42" s="7">
        <v>40</v>
      </c>
      <c r="B42" s="7"/>
      <c r="C42" s="7"/>
      <c r="D42" s="25"/>
      <c r="E42" s="25"/>
      <c r="F42" s="25"/>
      <c r="G42" s="25" t="str">
        <f t="shared" si="5"/>
        <v/>
      </c>
      <c r="H42" s="36"/>
      <c r="I42" s="6" t="str">
        <f t="shared" si="4"/>
        <v/>
      </c>
    </row>
    <row r="43" spans="1:10" x14ac:dyDescent="0.3">
      <c r="A43" s="7">
        <v>41</v>
      </c>
      <c r="B43" s="7"/>
      <c r="C43" s="7"/>
      <c r="D43" s="25"/>
      <c r="E43" s="25"/>
      <c r="F43" s="25"/>
      <c r="G43" s="25" t="str">
        <f t="shared" si="5"/>
        <v/>
      </c>
      <c r="H43" s="36"/>
      <c r="I43" s="6" t="str">
        <f t="shared" si="4"/>
        <v/>
      </c>
    </row>
    <row r="44" spans="1:10" x14ac:dyDescent="0.3">
      <c r="A44" s="7">
        <v>42</v>
      </c>
      <c r="B44" s="7"/>
      <c r="C44" s="7"/>
      <c r="D44" s="25"/>
      <c r="E44" s="25"/>
      <c r="F44" s="37"/>
      <c r="G44" s="25" t="str">
        <f t="shared" si="5"/>
        <v/>
      </c>
      <c r="H44" s="36"/>
      <c r="I44" s="6" t="str">
        <f t="shared" si="4"/>
        <v/>
      </c>
    </row>
    <row r="45" spans="1:10" x14ac:dyDescent="0.3">
      <c r="A45" s="7">
        <v>43</v>
      </c>
      <c r="B45" s="7"/>
      <c r="C45" s="7"/>
      <c r="D45" s="25"/>
      <c r="E45" s="25"/>
      <c r="F45" s="37"/>
      <c r="G45" s="25" t="str">
        <f t="shared" si="5"/>
        <v/>
      </c>
      <c r="H45" s="36"/>
      <c r="I45" s="6" t="str">
        <f t="shared" si="4"/>
        <v/>
      </c>
    </row>
    <row r="46" spans="1:10" x14ac:dyDescent="0.3">
      <c r="A46" s="7">
        <v>44</v>
      </c>
      <c r="B46" s="7"/>
      <c r="C46" s="7"/>
      <c r="D46" s="25"/>
      <c r="E46" s="25"/>
      <c r="F46" s="37"/>
      <c r="G46" s="25" t="str">
        <f t="shared" si="5"/>
        <v/>
      </c>
      <c r="H46" s="36"/>
      <c r="I46" s="6" t="str">
        <f t="shared" si="4"/>
        <v/>
      </c>
    </row>
    <row r="47" spans="1:10" x14ac:dyDescent="0.3">
      <c r="A47" s="7">
        <v>45</v>
      </c>
      <c r="B47" s="7"/>
      <c r="C47" s="7"/>
      <c r="D47" s="25"/>
      <c r="E47" s="25"/>
      <c r="F47" s="25"/>
      <c r="G47" s="25" t="str">
        <f t="shared" si="5"/>
        <v/>
      </c>
      <c r="H47" s="36"/>
      <c r="I47" s="6" t="str">
        <f t="shared" si="4"/>
        <v/>
      </c>
    </row>
    <row r="48" spans="1:10" x14ac:dyDescent="0.3">
      <c r="A48" s="7">
        <v>46</v>
      </c>
      <c r="B48" s="7"/>
      <c r="C48" s="7"/>
      <c r="D48" s="25"/>
      <c r="E48" s="25"/>
      <c r="F48" s="25"/>
      <c r="G48" s="25" t="str">
        <f t="shared" si="5"/>
        <v/>
      </c>
      <c r="H48" s="36"/>
      <c r="I48" s="6" t="str">
        <f t="shared" si="4"/>
        <v/>
      </c>
    </row>
    <row r="49" spans="1:9" x14ac:dyDescent="0.3">
      <c r="A49" s="7">
        <v>47</v>
      </c>
      <c r="B49" s="7"/>
      <c r="C49" s="7"/>
      <c r="D49" s="25"/>
      <c r="E49" s="25"/>
      <c r="F49" s="25"/>
      <c r="G49" s="25" t="str">
        <f t="shared" si="5"/>
        <v/>
      </c>
      <c r="H49" s="36"/>
      <c r="I49" s="6" t="str">
        <f t="shared" si="4"/>
        <v/>
      </c>
    </row>
    <row r="50" spans="1:9" x14ac:dyDescent="0.3">
      <c r="A50" s="7">
        <v>48</v>
      </c>
      <c r="B50" s="7"/>
      <c r="C50" s="7"/>
      <c r="D50" s="25"/>
      <c r="E50" s="25"/>
      <c r="F50" s="25"/>
      <c r="G50" s="25" t="str">
        <f t="shared" si="5"/>
        <v/>
      </c>
      <c r="H50" s="36"/>
      <c r="I50" s="6" t="str">
        <f t="shared" si="4"/>
        <v/>
      </c>
    </row>
    <row r="51" spans="1:9" x14ac:dyDescent="0.3">
      <c r="A51" s="7">
        <v>49</v>
      </c>
      <c r="B51" s="7"/>
      <c r="C51" s="7"/>
      <c r="D51" s="25"/>
      <c r="E51" s="25"/>
      <c r="F51" s="25"/>
      <c r="G51" s="25" t="str">
        <f t="shared" si="5"/>
        <v/>
      </c>
      <c r="H51" s="36"/>
      <c r="I51" s="6" t="str">
        <f t="shared" si="4"/>
        <v/>
      </c>
    </row>
    <row r="52" spans="1:9" x14ac:dyDescent="0.3">
      <c r="A52" s="7">
        <v>50</v>
      </c>
      <c r="B52" s="7"/>
      <c r="C52" s="7"/>
      <c r="D52" s="25"/>
      <c r="E52" s="25"/>
      <c r="F52" s="25"/>
      <c r="G52" s="25" t="str">
        <f t="shared" si="5"/>
        <v/>
      </c>
      <c r="H52" s="36"/>
      <c r="I52" s="6" t="str">
        <f t="shared" si="4"/>
        <v/>
      </c>
    </row>
    <row r="53" spans="1:9" x14ac:dyDescent="0.3">
      <c r="A53" s="7">
        <v>51</v>
      </c>
      <c r="B53" s="7"/>
      <c r="C53" s="7"/>
      <c r="D53" s="25"/>
      <c r="E53" s="25"/>
      <c r="F53" s="25"/>
      <c r="G53" s="25" t="str">
        <f t="shared" si="5"/>
        <v/>
      </c>
      <c r="H53" s="36"/>
      <c r="I53" s="6" t="str">
        <f t="shared" si="4"/>
        <v/>
      </c>
    </row>
    <row r="54" spans="1:9" x14ac:dyDescent="0.3">
      <c r="A54" s="7">
        <v>52</v>
      </c>
      <c r="B54" s="7"/>
      <c r="C54" s="7"/>
      <c r="D54" s="25"/>
      <c r="E54" s="25"/>
      <c r="F54" s="25"/>
      <c r="G54" s="25" t="str">
        <f t="shared" si="5"/>
        <v/>
      </c>
      <c r="H54" s="36"/>
      <c r="I54" s="6" t="str">
        <f t="shared" si="4"/>
        <v/>
      </c>
    </row>
    <row r="55" spans="1:9" x14ac:dyDescent="0.3">
      <c r="A55" s="7">
        <v>53</v>
      </c>
      <c r="B55" s="7"/>
      <c r="C55" s="7"/>
      <c r="D55" s="25"/>
      <c r="E55" s="25"/>
      <c r="F55" s="25"/>
      <c r="G55" s="25" t="str">
        <f t="shared" si="5"/>
        <v/>
      </c>
      <c r="H55" s="36"/>
      <c r="I55" s="6" t="str">
        <f t="shared" si="4"/>
        <v/>
      </c>
    </row>
    <row r="56" spans="1:9" x14ac:dyDescent="0.3">
      <c r="A56" s="7">
        <v>54</v>
      </c>
      <c r="B56" s="7"/>
      <c r="C56" s="7"/>
      <c r="D56" s="25"/>
      <c r="E56" s="25"/>
      <c r="F56" s="25"/>
      <c r="G56" s="25" t="str">
        <f t="shared" si="5"/>
        <v/>
      </c>
      <c r="H56" s="36"/>
      <c r="I56" s="6" t="str">
        <f t="shared" si="4"/>
        <v/>
      </c>
    </row>
    <row r="57" spans="1:9" x14ac:dyDescent="0.3">
      <c r="A57" s="7">
        <v>55</v>
      </c>
      <c r="B57" s="7"/>
      <c r="C57" s="7"/>
      <c r="D57" s="25"/>
      <c r="E57" s="25"/>
      <c r="F57" s="25"/>
      <c r="G57" s="25" t="str">
        <f t="shared" si="5"/>
        <v/>
      </c>
      <c r="H57" s="36"/>
      <c r="I57" s="6" t="str">
        <f t="shared" si="4"/>
        <v/>
      </c>
    </row>
    <row r="58" spans="1:9" x14ac:dyDescent="0.3">
      <c r="A58" s="7">
        <v>56</v>
      </c>
      <c r="B58" s="7"/>
      <c r="C58" s="7"/>
      <c r="D58" s="25"/>
      <c r="E58" s="25"/>
      <c r="F58" s="25"/>
      <c r="G58" s="25" t="str">
        <f t="shared" si="5"/>
        <v/>
      </c>
      <c r="H58" s="36"/>
      <c r="I58" s="6" t="str">
        <f t="shared" si="4"/>
        <v/>
      </c>
    </row>
    <row r="59" spans="1:9" x14ac:dyDescent="0.3">
      <c r="A59" s="7">
        <v>57</v>
      </c>
      <c r="B59" s="7"/>
      <c r="C59" s="7"/>
      <c r="D59" s="25"/>
      <c r="E59" s="25"/>
      <c r="F59" s="25"/>
      <c r="G59" s="25" t="str">
        <f t="shared" si="5"/>
        <v/>
      </c>
      <c r="H59" s="36"/>
      <c r="I59" s="6" t="str">
        <f t="shared" si="4"/>
        <v/>
      </c>
    </row>
    <row r="60" spans="1:9" x14ac:dyDescent="0.3">
      <c r="A60" s="7">
        <v>58</v>
      </c>
      <c r="B60" s="7"/>
      <c r="C60" s="7"/>
      <c r="D60" s="25"/>
      <c r="E60" s="25"/>
      <c r="F60" s="25"/>
      <c r="G60" s="25" t="str">
        <f t="shared" si="5"/>
        <v/>
      </c>
      <c r="H60" s="36"/>
      <c r="I60" s="6" t="str">
        <f t="shared" si="4"/>
        <v/>
      </c>
    </row>
    <row r="61" spans="1:9" x14ac:dyDescent="0.3">
      <c r="A61" s="7">
        <v>59</v>
      </c>
      <c r="B61" s="7"/>
      <c r="C61" s="7"/>
      <c r="D61" s="25"/>
      <c r="E61" s="25"/>
      <c r="F61" s="25"/>
      <c r="G61" s="25" t="str">
        <f t="shared" si="5"/>
        <v/>
      </c>
      <c r="H61" s="36"/>
      <c r="I61" s="6" t="str">
        <f t="shared" si="4"/>
        <v/>
      </c>
    </row>
    <row r="62" spans="1:9" x14ac:dyDescent="0.3">
      <c r="A62" s="7">
        <v>60</v>
      </c>
      <c r="B62" s="7"/>
      <c r="C62" s="7"/>
      <c r="D62" s="25"/>
      <c r="E62" s="25"/>
      <c r="F62" s="25"/>
      <c r="G62" s="25" t="str">
        <f t="shared" si="5"/>
        <v/>
      </c>
      <c r="H62" s="36"/>
      <c r="I62" s="6" t="str">
        <f t="shared" si="4"/>
        <v/>
      </c>
    </row>
    <row r="63" spans="1:9" x14ac:dyDescent="0.3">
      <c r="A63" s="7">
        <v>61</v>
      </c>
      <c r="B63" s="7"/>
      <c r="C63" s="7"/>
      <c r="D63" s="25"/>
      <c r="E63" s="25"/>
      <c r="F63" s="25"/>
      <c r="G63" s="25" t="str">
        <f t="shared" si="5"/>
        <v/>
      </c>
      <c r="H63" s="36"/>
      <c r="I63" s="6" t="str">
        <f t="shared" si="4"/>
        <v/>
      </c>
    </row>
    <row r="64" spans="1:9" x14ac:dyDescent="0.3">
      <c r="A64" s="7">
        <v>62</v>
      </c>
      <c r="B64" s="7"/>
      <c r="C64" s="7"/>
      <c r="D64" s="25"/>
      <c r="E64" s="25"/>
      <c r="F64" s="25"/>
      <c r="G64" s="25" t="str">
        <f t="shared" si="5"/>
        <v/>
      </c>
      <c r="H64" s="36"/>
      <c r="I64" s="6" t="str">
        <f t="shared" si="4"/>
        <v/>
      </c>
    </row>
    <row r="65" spans="1:9" x14ac:dyDescent="0.3">
      <c r="A65" s="7">
        <v>63</v>
      </c>
      <c r="B65" s="7"/>
      <c r="C65" s="7"/>
      <c r="D65" s="25"/>
      <c r="E65" s="25"/>
      <c r="F65" s="25"/>
      <c r="G65" s="25" t="str">
        <f t="shared" si="5"/>
        <v/>
      </c>
      <c r="H65" s="36"/>
      <c r="I65" s="6" t="str">
        <f t="shared" si="4"/>
        <v/>
      </c>
    </row>
    <row r="66" spans="1:9" x14ac:dyDescent="0.3">
      <c r="A66" s="7">
        <v>64</v>
      </c>
      <c r="B66" s="7"/>
      <c r="C66" s="7"/>
      <c r="D66" s="25"/>
      <c r="E66" s="25"/>
      <c r="F66" s="25"/>
      <c r="G66" s="25" t="str">
        <f t="shared" si="5"/>
        <v/>
      </c>
      <c r="H66" s="36"/>
      <c r="I66" s="6" t="str">
        <f t="shared" si="4"/>
        <v/>
      </c>
    </row>
    <row r="67" spans="1:9" x14ac:dyDescent="0.3">
      <c r="A67" s="7">
        <v>65</v>
      </c>
      <c r="B67" s="7"/>
      <c r="C67" s="7"/>
      <c r="D67" s="25"/>
      <c r="E67" s="25"/>
      <c r="F67" s="25"/>
      <c r="G67" s="25" t="str">
        <f t="shared" si="5"/>
        <v/>
      </c>
      <c r="H67" s="36"/>
      <c r="I67" s="6" t="str">
        <f t="shared" si="4"/>
        <v/>
      </c>
    </row>
    <row r="68" spans="1:9" x14ac:dyDescent="0.3">
      <c r="A68" s="7">
        <v>66</v>
      </c>
      <c r="B68" s="7"/>
      <c r="C68" s="7"/>
      <c r="D68" s="25"/>
      <c r="E68" s="25"/>
      <c r="F68" s="25"/>
      <c r="G68" s="25" t="str">
        <f t="shared" si="5"/>
        <v/>
      </c>
      <c r="H68" s="36"/>
      <c r="I68" s="6" t="str">
        <f t="shared" si="4"/>
        <v/>
      </c>
    </row>
    <row r="69" spans="1:9" x14ac:dyDescent="0.3">
      <c r="A69" s="7">
        <v>67</v>
      </c>
      <c r="B69" s="7"/>
      <c r="C69" s="7"/>
      <c r="D69" s="25"/>
      <c r="E69" s="25"/>
      <c r="F69" s="25"/>
      <c r="G69" s="25" t="str">
        <f t="shared" si="5"/>
        <v/>
      </c>
      <c r="H69" s="36"/>
      <c r="I69" s="6" t="str">
        <f t="shared" si="4"/>
        <v/>
      </c>
    </row>
    <row r="70" spans="1:9" x14ac:dyDescent="0.3">
      <c r="A70" s="7">
        <v>68</v>
      </c>
      <c r="B70" s="7"/>
      <c r="C70" s="7"/>
      <c r="D70" s="25"/>
      <c r="E70" s="25"/>
      <c r="F70" s="25"/>
      <c r="G70" s="25" t="str">
        <f t="shared" si="5"/>
        <v/>
      </c>
      <c r="H70" s="36"/>
      <c r="I70" s="6" t="str">
        <f t="shared" si="4"/>
        <v/>
      </c>
    </row>
    <row r="71" spans="1:9" x14ac:dyDescent="0.3">
      <c r="A71" s="7">
        <v>69</v>
      </c>
      <c r="B71" s="7"/>
      <c r="C71" s="7"/>
      <c r="D71" s="25"/>
      <c r="E71" s="25"/>
      <c r="F71" s="25"/>
      <c r="G71" s="25" t="str">
        <f t="shared" si="5"/>
        <v/>
      </c>
      <c r="H71" s="36"/>
      <c r="I71" s="6" t="str">
        <f t="shared" si="4"/>
        <v/>
      </c>
    </row>
    <row r="72" spans="1:9" x14ac:dyDescent="0.3">
      <c r="A72" s="7">
        <v>70</v>
      </c>
      <c r="B72" s="7"/>
      <c r="C72" s="7"/>
      <c r="D72" s="25"/>
      <c r="E72" s="25"/>
      <c r="F72" s="25"/>
      <c r="G72" s="25" t="str">
        <f t="shared" si="5"/>
        <v/>
      </c>
      <c r="H72" s="36"/>
      <c r="I72" s="6" t="str">
        <f t="shared" si="4"/>
        <v/>
      </c>
    </row>
    <row r="73" spans="1:9" x14ac:dyDescent="0.3">
      <c r="A73" s="7">
        <v>71</v>
      </c>
      <c r="B73" s="7"/>
      <c r="C73" s="7"/>
      <c r="D73" s="25"/>
      <c r="E73" s="25"/>
      <c r="F73" s="25"/>
      <c r="G73" s="25" t="str">
        <f t="shared" si="5"/>
        <v/>
      </c>
      <c r="H73" s="36"/>
      <c r="I73" s="6" t="str">
        <f t="shared" si="4"/>
        <v/>
      </c>
    </row>
    <row r="74" spans="1:9" x14ac:dyDescent="0.3">
      <c r="A74" s="7">
        <v>72</v>
      </c>
      <c r="B74" s="7"/>
      <c r="C74" s="7"/>
      <c r="D74" s="25"/>
      <c r="E74" s="25"/>
      <c r="F74" s="25"/>
      <c r="G74" s="25" t="str">
        <f t="shared" si="5"/>
        <v/>
      </c>
      <c r="H74" s="36"/>
      <c r="I74" s="6" t="str">
        <f t="shared" si="4"/>
        <v/>
      </c>
    </row>
    <row r="75" spans="1:9" x14ac:dyDescent="0.3">
      <c r="A75" s="7">
        <v>73</v>
      </c>
      <c r="B75" s="7"/>
      <c r="C75" s="7"/>
      <c r="D75" s="25"/>
      <c r="E75" s="25"/>
      <c r="F75" s="25"/>
      <c r="G75" s="25" t="str">
        <f t="shared" si="5"/>
        <v/>
      </c>
      <c r="H75" s="36"/>
      <c r="I75" s="6" t="str">
        <f t="shared" si="4"/>
        <v/>
      </c>
    </row>
    <row r="76" spans="1:9" x14ac:dyDescent="0.3">
      <c r="A76" s="7">
        <v>74</v>
      </c>
      <c r="B76" s="7"/>
      <c r="C76" s="7"/>
      <c r="D76" s="25"/>
      <c r="E76" s="25"/>
      <c r="F76" s="25"/>
      <c r="G76" s="25" t="str">
        <f t="shared" si="5"/>
        <v/>
      </c>
      <c r="H76" s="36"/>
      <c r="I76" s="6" t="str">
        <f t="shared" si="4"/>
        <v/>
      </c>
    </row>
    <row r="77" spans="1:9" x14ac:dyDescent="0.3">
      <c r="A77" s="7">
        <v>75</v>
      </c>
      <c r="B77" s="7"/>
      <c r="C77" s="7"/>
      <c r="D77" s="25"/>
      <c r="E77" s="25"/>
      <c r="F77" s="25"/>
      <c r="G77" s="25" t="str">
        <f t="shared" si="5"/>
        <v/>
      </c>
      <c r="H77" s="36"/>
      <c r="I77" s="6" t="str">
        <f t="shared" si="4"/>
        <v/>
      </c>
    </row>
    <row r="78" spans="1:9" x14ac:dyDescent="0.3">
      <c r="A78" s="7">
        <v>76</v>
      </c>
      <c r="B78" s="7"/>
      <c r="C78" s="7"/>
      <c r="D78" s="25"/>
      <c r="E78" s="25"/>
      <c r="F78" s="25"/>
      <c r="G78" s="25" t="str">
        <f t="shared" si="5"/>
        <v/>
      </c>
      <c r="H78" s="36"/>
      <c r="I78" s="6" t="str">
        <f t="shared" si="4"/>
        <v/>
      </c>
    </row>
    <row r="79" spans="1:9" x14ac:dyDescent="0.3">
      <c r="A79" s="7">
        <v>77</v>
      </c>
      <c r="B79" s="7"/>
      <c r="C79" s="7"/>
      <c r="D79" s="25"/>
      <c r="E79" s="25"/>
      <c r="F79" s="25"/>
      <c r="G79" s="25" t="str">
        <f t="shared" si="5"/>
        <v/>
      </c>
      <c r="H79" s="36"/>
      <c r="I79" s="6" t="str">
        <f t="shared" si="4"/>
        <v/>
      </c>
    </row>
    <row r="80" spans="1:9" x14ac:dyDescent="0.3">
      <c r="A80" s="7">
        <v>78</v>
      </c>
      <c r="B80" s="7" t="str">
        <f>IFERROR(INDEX('Список ориентирование '!B:B,MATCH(A80,'Список ориентирование '!E:E,0)),"")</f>
        <v/>
      </c>
      <c r="C80" s="7" t="str">
        <f>IFERROR(INDEX('Список ориентирование '!C:C,MATCH(A80,'Список ориентирование '!E:E,0)),"")</f>
        <v/>
      </c>
      <c r="D80" s="25"/>
      <c r="E80" s="25"/>
      <c r="F80" s="25"/>
      <c r="G80" s="25" t="str">
        <f t="shared" si="5"/>
        <v/>
      </c>
      <c r="H80" s="36"/>
      <c r="I80" s="6" t="str">
        <f t="shared" si="4"/>
        <v/>
      </c>
    </row>
    <row r="81" spans="1:9" x14ac:dyDescent="0.3">
      <c r="A81" s="7">
        <v>79</v>
      </c>
      <c r="B81" s="7" t="str">
        <f>IFERROR(INDEX('Список ориентирование '!B:B,MATCH(A81,'Список ориентирование '!E:E,0)),"")</f>
        <v/>
      </c>
      <c r="C81" s="7" t="str">
        <f>IFERROR(INDEX('Список ориентирование '!C:C,MATCH(A81,'Список ориентирование '!E:E,0)),"")</f>
        <v/>
      </c>
      <c r="D81" s="25"/>
      <c r="E81" s="25"/>
      <c r="F81" s="25"/>
      <c r="G81" s="25" t="str">
        <f t="shared" si="5"/>
        <v/>
      </c>
      <c r="H81" s="36"/>
      <c r="I81" s="6" t="str">
        <f t="shared" si="4"/>
        <v/>
      </c>
    </row>
    <row r="82" spans="1:9" x14ac:dyDescent="0.3">
      <c r="A82" s="7">
        <v>80</v>
      </c>
      <c r="B82" s="7" t="str">
        <f>IFERROR(INDEX('Список ориентирование '!B:B,MATCH(A82,'Список ориентирование '!E:E,0)),"")</f>
        <v/>
      </c>
      <c r="C82" s="7" t="str">
        <f>IFERROR(INDEX('Список ориентирование '!C:C,MATCH(A82,'Список ориентирование '!E:E,0)),"")</f>
        <v/>
      </c>
      <c r="D82" s="25"/>
      <c r="E82" s="25"/>
      <c r="F82" s="25"/>
      <c r="G82" s="25" t="str">
        <f t="shared" si="5"/>
        <v/>
      </c>
      <c r="H82" s="36"/>
      <c r="I82" s="6" t="str">
        <f t="shared" si="4"/>
        <v/>
      </c>
    </row>
    <row r="83" spans="1:9" x14ac:dyDescent="0.3">
      <c r="A83" s="7">
        <v>81</v>
      </c>
      <c r="B83" s="7" t="str">
        <f>IFERROR(INDEX('Список ориентирование '!B:B,MATCH(A83,'Список ориентирование '!E:E,0)),"")</f>
        <v/>
      </c>
      <c r="C83" s="7" t="str">
        <f>IFERROR(INDEX('Список ориентирование '!C:C,MATCH(A83,'Список ориентирование '!E:E,0)),"")</f>
        <v/>
      </c>
      <c r="D83" s="25"/>
      <c r="E83" s="25"/>
      <c r="F83" s="25"/>
      <c r="G83" s="25" t="str">
        <f t="shared" si="5"/>
        <v/>
      </c>
      <c r="H83" s="36"/>
      <c r="I83" s="6" t="str">
        <f t="shared" si="4"/>
        <v/>
      </c>
    </row>
    <row r="84" spans="1:9" x14ac:dyDescent="0.3">
      <c r="A84" s="7">
        <v>82</v>
      </c>
      <c r="B84" s="7" t="str">
        <f>IFERROR(INDEX('Список ориентирование '!B:B,MATCH(A84,'Список ориентирование '!E:E,0)),"")</f>
        <v/>
      </c>
      <c r="C84" s="7" t="str">
        <f>IFERROR(INDEX('Список ориентирование '!C:C,MATCH(A84,'Список ориентирование '!E:E,0)),"")</f>
        <v/>
      </c>
      <c r="D84" s="25"/>
      <c r="E84" s="25"/>
      <c r="F84" s="25"/>
      <c r="G84" s="25" t="str">
        <f t="shared" si="5"/>
        <v/>
      </c>
      <c r="H84" s="36"/>
      <c r="I84" s="6" t="str">
        <f t="shared" si="4"/>
        <v/>
      </c>
    </row>
    <row r="85" spans="1:9" x14ac:dyDescent="0.3">
      <c r="A85" s="7">
        <v>83</v>
      </c>
      <c r="B85" s="7" t="str">
        <f>IFERROR(INDEX('Список ориентирование '!B:B,MATCH(A85,'Список ориентирование '!E:E,0)),"")</f>
        <v/>
      </c>
      <c r="C85" s="7" t="str">
        <f>IFERROR(INDEX('Список ориентирование '!C:C,MATCH(A85,'Список ориентирование '!E:E,0)),"")</f>
        <v/>
      </c>
      <c r="D85" s="25"/>
      <c r="E85" s="25"/>
      <c r="F85" s="25"/>
      <c r="G85" s="25" t="str">
        <f t="shared" si="5"/>
        <v/>
      </c>
      <c r="H85" s="36"/>
      <c r="I85" s="6" t="str">
        <f t="shared" si="4"/>
        <v/>
      </c>
    </row>
    <row r="86" spans="1:9" x14ac:dyDescent="0.3">
      <c r="A86" s="7">
        <v>84</v>
      </c>
      <c r="B86" s="7" t="str">
        <f>IFERROR(INDEX('Список ориентирование '!B:B,MATCH(A86,'Список ориентирование '!E:E,0)),"")</f>
        <v/>
      </c>
      <c r="C86" s="7" t="str">
        <f>IFERROR(INDEX('Список ориентирование '!C:C,MATCH(A86,'Список ориентирование '!E:E,0)),"")</f>
        <v/>
      </c>
      <c r="D86" s="25"/>
      <c r="E86" s="25"/>
      <c r="F86" s="25"/>
      <c r="G86" s="25" t="str">
        <f t="shared" si="5"/>
        <v/>
      </c>
      <c r="H86" s="36"/>
      <c r="I86" s="6" t="str">
        <f t="shared" si="4"/>
        <v/>
      </c>
    </row>
    <row r="87" spans="1:9" x14ac:dyDescent="0.3">
      <c r="A87" s="7">
        <v>85</v>
      </c>
      <c r="B87" s="7" t="str">
        <f>IFERROR(INDEX('Список ориентирование '!B:B,MATCH(A87,'Список ориентирование '!E:E,0)),"")</f>
        <v/>
      </c>
      <c r="C87" s="7" t="str">
        <f>IFERROR(INDEX('Список ориентирование '!C:C,MATCH(A87,'Список ориентирование '!E:E,0)),"")</f>
        <v/>
      </c>
      <c r="D87" s="25"/>
      <c r="E87" s="25"/>
      <c r="F87" s="25"/>
      <c r="G87" s="25" t="str">
        <f t="shared" si="5"/>
        <v/>
      </c>
      <c r="H87" s="36"/>
      <c r="I87" s="6" t="str">
        <f t="shared" si="4"/>
        <v/>
      </c>
    </row>
    <row r="88" spans="1:9" x14ac:dyDescent="0.3">
      <c r="A88" s="7">
        <v>86</v>
      </c>
      <c r="B88" s="7" t="str">
        <f>IFERROR(INDEX('Список ориентирование '!B:B,MATCH(A88,'Список ориентирование '!E:E,0)),"")</f>
        <v/>
      </c>
      <c r="C88" s="7" t="str">
        <f>IFERROR(INDEX('Список ориентирование '!C:C,MATCH(A88,'Список ориентирование '!E:E,0)),"")</f>
        <v/>
      </c>
      <c r="D88" s="25"/>
      <c r="E88" s="25"/>
      <c r="F88" s="25"/>
      <c r="G88" s="25" t="str">
        <f t="shared" si="5"/>
        <v/>
      </c>
      <c r="H88" s="36"/>
      <c r="I88" s="6" t="str">
        <f t="shared" si="4"/>
        <v/>
      </c>
    </row>
    <row r="89" spans="1:9" x14ac:dyDescent="0.3">
      <c r="A89" s="7">
        <v>87</v>
      </c>
      <c r="B89" s="7" t="str">
        <f>IFERROR(INDEX('Список ориентирование '!B:B,MATCH(A89,'Список ориентирование '!E:E,0)),"")</f>
        <v/>
      </c>
      <c r="C89" s="7" t="str">
        <f>IFERROR(INDEX('Список ориентирование '!C:C,MATCH(A89,'Список ориентирование '!E:E,0)),"")</f>
        <v/>
      </c>
      <c r="D89" s="25"/>
      <c r="E89" s="25"/>
      <c r="F89" s="25"/>
      <c r="G89" s="25" t="str">
        <f t="shared" si="5"/>
        <v/>
      </c>
      <c r="H89" s="36"/>
      <c r="I89" s="6" t="str">
        <f t="shared" si="4"/>
        <v/>
      </c>
    </row>
    <row r="90" spans="1:9" x14ac:dyDescent="0.3">
      <c r="A90" s="7">
        <v>88</v>
      </c>
      <c r="B90" s="7" t="str">
        <f>IFERROR(INDEX('Список ориентирование '!B:B,MATCH(A90,'Список ориентирование '!E:E,0)),"")</f>
        <v/>
      </c>
      <c r="C90" s="7" t="str">
        <f>IFERROR(INDEX('Список ориентирование '!C:C,MATCH(A90,'Список ориентирование '!E:E,0)),"")</f>
        <v/>
      </c>
      <c r="D90" s="25"/>
      <c r="E90" s="25"/>
      <c r="F90" s="25"/>
      <c r="G90" s="25" t="str">
        <f t="shared" si="5"/>
        <v/>
      </c>
      <c r="H90" s="36"/>
      <c r="I90" s="6" t="str">
        <f t="shared" si="4"/>
        <v/>
      </c>
    </row>
    <row r="91" spans="1:9" x14ac:dyDescent="0.3">
      <c r="A91" s="7">
        <v>89</v>
      </c>
      <c r="B91" s="7" t="str">
        <f>IFERROR(INDEX('Список ориентирование '!B:B,MATCH(A91,'Список ориентирование '!E:E,0)),"")</f>
        <v/>
      </c>
      <c r="C91" s="7" t="str">
        <f>IFERROR(INDEX('Список ориентирование '!C:C,MATCH(A91,'Список ориентирование '!E:E,0)),"")</f>
        <v/>
      </c>
      <c r="D91" s="25"/>
      <c r="E91" s="25"/>
      <c r="F91" s="25"/>
      <c r="G91" s="25" t="str">
        <f t="shared" si="5"/>
        <v/>
      </c>
      <c r="H91" s="36"/>
      <c r="I91" s="6" t="str">
        <f t="shared" si="4"/>
        <v/>
      </c>
    </row>
    <row r="92" spans="1:9" x14ac:dyDescent="0.3">
      <c r="A92" s="7">
        <v>90</v>
      </c>
      <c r="B92" s="7" t="str">
        <f>IFERROR(INDEX('Список ориентирование '!B:B,MATCH(A92,'Список ориентирование '!E:E,0)),"")</f>
        <v/>
      </c>
      <c r="C92" s="7" t="str">
        <f>IFERROR(INDEX('Список ориентирование '!C:C,MATCH(A92,'Список ориентирование '!E:E,0)),"")</f>
        <v/>
      </c>
      <c r="D92" s="25"/>
      <c r="E92" s="25"/>
      <c r="F92" s="25"/>
      <c r="G92" s="25" t="str">
        <f t="shared" si="5"/>
        <v/>
      </c>
      <c r="H92" s="36"/>
      <c r="I92" s="6" t="str">
        <f t="shared" si="4"/>
        <v/>
      </c>
    </row>
    <row r="93" spans="1:9" x14ac:dyDescent="0.3">
      <c r="A93" s="7">
        <v>91</v>
      </c>
      <c r="B93" s="7" t="str">
        <f>IFERROR(INDEX('Список ориентирование '!B:B,MATCH(A93,'Список ориентирование '!E:E,0)),"")</f>
        <v/>
      </c>
      <c r="C93" s="7" t="str">
        <f>IFERROR(INDEX('Список ориентирование '!C:C,MATCH(A93,'Список ориентирование '!E:E,0)),"")</f>
        <v/>
      </c>
      <c r="D93" s="25"/>
      <c r="E93" s="25"/>
      <c r="F93" s="25"/>
      <c r="G93" s="25" t="str">
        <f t="shared" si="5"/>
        <v/>
      </c>
      <c r="H93" s="36"/>
      <c r="I93" s="6" t="str">
        <f t="shared" si="4"/>
        <v/>
      </c>
    </row>
    <row r="94" spans="1:9" x14ac:dyDescent="0.3">
      <c r="A94" s="7">
        <v>92</v>
      </c>
      <c r="B94" s="7" t="str">
        <f>IFERROR(INDEX('Список ориентирование '!B:B,MATCH(A94,'Список ориентирование '!E:E,0)),"")</f>
        <v/>
      </c>
      <c r="C94" s="7" t="str">
        <f>IFERROR(INDEX('Список ориентирование '!C:C,MATCH(A94,'Список ориентирование '!E:E,0)),"")</f>
        <v/>
      </c>
      <c r="D94" s="25"/>
      <c r="E94" s="25"/>
      <c r="F94" s="25"/>
      <c r="G94" s="25" t="str">
        <f t="shared" si="5"/>
        <v/>
      </c>
      <c r="H94" s="36"/>
      <c r="I94" s="6" t="str">
        <f t="shared" si="4"/>
        <v/>
      </c>
    </row>
    <row r="95" spans="1:9" x14ac:dyDescent="0.3">
      <c r="A95" s="7">
        <v>93</v>
      </c>
      <c r="B95" s="7" t="str">
        <f>IFERROR(INDEX('Список ориентирование '!B:B,MATCH(A95,'Список ориентирование '!E:E,0)),"")</f>
        <v/>
      </c>
      <c r="C95" s="7" t="str">
        <f>IFERROR(INDEX('Список ориентирование '!C:C,MATCH(A95,'Список ориентирование '!E:E,0)),"")</f>
        <v/>
      </c>
      <c r="D95" s="25"/>
      <c r="E95" s="25"/>
      <c r="F95" s="25"/>
      <c r="G95" s="25" t="str">
        <f t="shared" ref="G95:G101" si="6">IF(ISBLANK(F95),"",F95-E95)</f>
        <v/>
      </c>
      <c r="H95" s="36"/>
      <c r="I95" s="6" t="str">
        <f t="shared" ref="I95:I101" si="7">IF(ISBLANK(F95),"",G95+TIME(H95*2,H95,0))</f>
        <v/>
      </c>
    </row>
    <row r="96" spans="1:9" x14ac:dyDescent="0.3">
      <c r="A96" s="7">
        <v>94</v>
      </c>
      <c r="B96" s="7" t="str">
        <f>IFERROR(INDEX('Список ориентирование '!B:B,MATCH(A96,'Список ориентирование '!E:E,0)),"")</f>
        <v/>
      </c>
      <c r="C96" s="7" t="str">
        <f>IFERROR(INDEX('Список ориентирование '!C:C,MATCH(A96,'Список ориентирование '!E:E,0)),"")</f>
        <v/>
      </c>
      <c r="D96" s="25"/>
      <c r="E96" s="25"/>
      <c r="F96" s="25"/>
      <c r="G96" s="25" t="str">
        <f t="shared" si="6"/>
        <v/>
      </c>
      <c r="H96" s="36"/>
      <c r="I96" s="6" t="str">
        <f t="shared" si="7"/>
        <v/>
      </c>
    </row>
    <row r="97" spans="1:9" x14ac:dyDescent="0.3">
      <c r="A97" s="7">
        <v>95</v>
      </c>
      <c r="B97" s="7" t="str">
        <f>IFERROR(INDEX('Список ориентирование '!B:B,MATCH(A97,'Список ориентирование '!E:E,0)),"")</f>
        <v/>
      </c>
      <c r="C97" s="7" t="str">
        <f>IFERROR(INDEX('Список ориентирование '!C:C,MATCH(A97,'Список ориентирование '!E:E,0)),"")</f>
        <v/>
      </c>
      <c r="D97" s="25"/>
      <c r="E97" s="25"/>
      <c r="F97" s="25"/>
      <c r="G97" s="25" t="str">
        <f t="shared" si="6"/>
        <v/>
      </c>
      <c r="H97" s="36"/>
      <c r="I97" s="6" t="str">
        <f t="shared" si="7"/>
        <v/>
      </c>
    </row>
    <row r="98" spans="1:9" x14ac:dyDescent="0.3">
      <c r="A98" s="7">
        <v>96</v>
      </c>
      <c r="B98" s="7" t="str">
        <f>IFERROR(INDEX('Список ориентирование '!B:B,MATCH(A98,'Список ориентирование '!E:E,0)),"")</f>
        <v/>
      </c>
      <c r="C98" s="7" t="str">
        <f>IFERROR(INDEX('Список ориентирование '!C:C,MATCH(A98,'Список ориентирование '!E:E,0)),"")</f>
        <v/>
      </c>
      <c r="D98" s="25"/>
      <c r="E98" s="25"/>
      <c r="F98" s="25"/>
      <c r="G98" s="25" t="str">
        <f t="shared" si="6"/>
        <v/>
      </c>
      <c r="H98" s="36"/>
      <c r="I98" s="6" t="str">
        <f t="shared" si="7"/>
        <v/>
      </c>
    </row>
    <row r="99" spans="1:9" x14ac:dyDescent="0.3">
      <c r="A99" s="7">
        <v>97</v>
      </c>
      <c r="B99" s="7" t="str">
        <f>IFERROR(INDEX('Список ориентирование '!B:B,MATCH(A99,'Список ориентирование '!E:E,0)),"")</f>
        <v/>
      </c>
      <c r="C99" s="7" t="str">
        <f>IFERROR(INDEX('Список ориентирование '!C:C,MATCH(A99,'Список ориентирование '!E:E,0)),"")</f>
        <v/>
      </c>
      <c r="D99" s="25"/>
      <c r="E99" s="25"/>
      <c r="F99" s="25"/>
      <c r="G99" s="25" t="str">
        <f t="shared" si="6"/>
        <v/>
      </c>
      <c r="H99" s="36"/>
      <c r="I99" s="6" t="str">
        <f t="shared" si="7"/>
        <v/>
      </c>
    </row>
    <row r="100" spans="1:9" x14ac:dyDescent="0.3">
      <c r="A100" s="7">
        <v>98</v>
      </c>
      <c r="B100" s="7" t="str">
        <f>IFERROR(INDEX('Список ориентирование '!B:B,MATCH(A100,'Список ориентирование '!E:E,0)),"")</f>
        <v/>
      </c>
      <c r="C100" s="7" t="str">
        <f>IFERROR(INDEX('Список ориентирование '!C:C,MATCH(A100,'Список ориентирование '!E:E,0)),"")</f>
        <v/>
      </c>
      <c r="D100" s="25"/>
      <c r="E100" s="25"/>
      <c r="F100" s="25"/>
      <c r="G100" s="25" t="str">
        <f t="shared" si="6"/>
        <v/>
      </c>
      <c r="H100" s="36"/>
      <c r="I100" s="6" t="str">
        <f t="shared" si="7"/>
        <v/>
      </c>
    </row>
    <row r="101" spans="1:9" x14ac:dyDescent="0.3">
      <c r="A101" s="7">
        <v>99</v>
      </c>
      <c r="B101" s="7" t="str">
        <f>IFERROR(INDEX('Список ориентирование '!B:B,MATCH(A101,'Список ориентирование '!E:E,0)),"")</f>
        <v/>
      </c>
      <c r="C101" s="7" t="str">
        <f>IFERROR(INDEX('Список ориентирование '!C:C,MATCH(A101,'Список ориентирование '!E:E,0)),"")</f>
        <v/>
      </c>
      <c r="D101" s="25"/>
      <c r="E101" s="25"/>
      <c r="F101" s="25"/>
      <c r="G101" s="25" t="str">
        <f t="shared" si="6"/>
        <v/>
      </c>
      <c r="H101" s="36"/>
      <c r="I101" s="6" t="str">
        <f t="shared" si="7"/>
        <v/>
      </c>
    </row>
  </sheetData>
  <mergeCells count="1">
    <mergeCell ref="C1:E1"/>
  </mergeCells>
  <conditionalFormatting sqref="A3:I200">
    <cfRule type="expression" dxfId="22" priority="1">
      <formula>AND($H3&gt;=1)</formula>
    </cfRule>
    <cfRule type="expression" dxfId="27" priority="2">
      <formula>AND($I3=$M$7)</formula>
    </cfRule>
    <cfRule type="expression" dxfId="26" priority="3">
      <formula>AND($I3=$M$6)</formula>
    </cfRule>
    <cfRule type="expression" dxfId="25" priority="5">
      <formula>AND($I3=$M$5)</formula>
    </cfRule>
    <cfRule type="expression" dxfId="24" priority="6">
      <formula>AND($I3=$M$4)</formula>
    </cfRule>
    <cfRule type="expression" dxfId="23" priority="7">
      <formula>AND($I3=$M$3)</formula>
    </cfRule>
  </conditionalFormatting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Главный</vt:lpstr>
      <vt:lpstr>Список</vt:lpstr>
      <vt:lpstr>Список ориентирование </vt:lpstr>
      <vt:lpstr>Ориентирование-сводная</vt:lpstr>
      <vt:lpstr>Старт Ж</vt:lpstr>
      <vt:lpstr>Старт М</vt:lpstr>
      <vt:lpstr>'Ориентирование-сводная'!Заголовки_для_печати</vt:lpstr>
      <vt:lpstr>Главный!Область_печати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Шамсутдинов Руслан Рафаилович</dc:creator>
  <cp:lastModifiedBy>Шамсутдинов Руслан Рафаилович</cp:lastModifiedBy>
  <cp:lastPrinted>2021-06-09T03:26:24Z</cp:lastPrinted>
  <dcterms:created xsi:type="dcterms:W3CDTF">2021-06-07T03:30:32Z</dcterms:created>
  <dcterms:modified xsi:type="dcterms:W3CDTF">2021-06-10T05:18:14Z</dcterms:modified>
</cp:coreProperties>
</file>